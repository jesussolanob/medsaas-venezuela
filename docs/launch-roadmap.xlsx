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oadmap" sheetId="2" state="visible" r:id="rId2"/>
    <sheet name="Sprint 1 — Lanzamiento" sheetId="3" state="visible" r:id="rId3"/>
    <sheet name="Compliance Checklist" sheetId="4" state="visible" r:id="rId4"/>
    <sheet name="Servicios externos" sheetId="5" state="visible" r:id="rId5"/>
  </sheets>
  <definedNames>
    <definedName name="_xlnm._FilterDatabase" localSheetId="1" hidden="1">'Roadmap'!$A$1:$J$80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#,##0&quot; h&quot;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891B2"/>
      <sz val="18"/>
    </font>
    <font>
      <name val="Arial"/>
      <i val="1"/>
      <color rgb="0064748B"/>
      <sz val="11"/>
    </font>
    <font>
      <name val="Arial"/>
      <b val="1"/>
      <color rgb="000891B2"/>
      <sz val="14"/>
    </font>
  </fonts>
  <fills count="21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FEF3C7"/>
      </patternFill>
    </fill>
    <fill>
      <patternFill patternType="solid">
        <fgColor rgb="00EF4444"/>
      </patternFill>
    </fill>
    <fill>
      <patternFill patternType="solid">
        <fgColor rgb="00F97316"/>
      </patternFill>
    </fill>
    <fill>
      <patternFill patternType="solid">
        <fgColor rgb="00EAB308"/>
      </patternFill>
    </fill>
    <fill>
      <patternFill patternType="solid">
        <fgColor rgb="00DBEAFE"/>
      </patternFill>
    </fill>
    <fill>
      <patternFill patternType="solid">
        <fgColor rgb="0010B981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3B82F6"/>
      </patternFill>
    </fill>
    <fill>
      <patternFill patternType="solid">
        <fgColor rgb="00D1FAE5"/>
      </patternFill>
    </fill>
    <fill>
      <patternFill patternType="solid">
        <fgColor rgb="00FCE7F3"/>
      </patternFill>
    </fill>
    <fill>
      <patternFill patternType="solid">
        <fgColor rgb="00FED7AA"/>
      </patternFill>
    </fill>
    <fill>
      <patternFill patternType="solid">
        <fgColor rgb="00FEF9C3"/>
      </patternFill>
    </fill>
    <fill>
      <patternFill patternType="solid">
        <fgColor rgb="00EDE9FE"/>
      </patternFill>
    </fill>
    <fill>
      <patternFill patternType="solid">
        <fgColor rgb="00CFFAFE"/>
      </patternFill>
    </fill>
    <fill>
      <patternFill patternType="solid">
        <fgColor rgb="00F3F4F6"/>
      </patternFill>
    </fill>
    <fill>
      <patternFill patternType="solid">
        <fgColor rgb="00FECDD3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4" fillId="20" borderId="1" applyAlignment="1" pivotButton="0" quotePrefix="0" xfId="0">
      <alignment vertical="top" wrapText="1"/>
    </xf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  <col width="12" customWidth="1" min="4" max="4"/>
    <col width="12" customWidth="1" min="5" max="5"/>
    <col width="30" customWidth="1" min="6" max="6"/>
  </cols>
  <sheetData>
    <row r="1" ht="36" customHeight="1">
      <c r="A1" s="1" t="inlineStr">
        <is>
          <t>Delta Medical CRM — Roadmap de Lanzamiento Formal</t>
        </is>
      </c>
    </row>
    <row r="2" ht="24" customHeight="1">
      <c r="A2" s="2" t="inlineStr">
        <is>
          <t>Fecha: 2026-04-29 · Build comercial estimado: 6-8 semanas · MVP launchable: 1-2 semanas</t>
        </is>
      </c>
    </row>
    <row r="4">
      <c r="A4" s="3" t="inlineStr">
        <is>
          <t>KPIs DEL ROADMAP</t>
        </is>
      </c>
    </row>
    <row r="5">
      <c r="A5" s="4" t="inlineStr">
        <is>
          <t>Total tareas identificadas</t>
        </is>
      </c>
      <c r="C5" s="5">
        <f>COUNTA(Roadmap!C2:C80)</f>
        <v/>
      </c>
    </row>
    <row r="6">
      <c r="A6" s="4" t="inlineStr">
        <is>
          <t>Tareas P0 — Bloqueantes</t>
        </is>
      </c>
      <c r="C6" s="5">
        <f>COUNTIF(Roadmap!E:E,"P0 — Bloqueante")</f>
        <v/>
      </c>
    </row>
    <row r="7">
      <c r="A7" s="4" t="inlineStr">
        <is>
          <t>Tareas P1 — Críticas</t>
        </is>
      </c>
      <c r="C7" s="5">
        <f>COUNTIF(Roadmap!E:E,"P1 — Crítico")</f>
        <v/>
      </c>
    </row>
    <row r="8">
      <c r="A8" s="4" t="inlineStr">
        <is>
          <t>Tareas P2 — Importantes</t>
        </is>
      </c>
      <c r="C8" s="5">
        <f>COUNTIF(Roadmap!E:E,"P2 — Importante")</f>
        <v/>
      </c>
    </row>
    <row r="9">
      <c r="A9" s="4" t="inlineStr">
        <is>
          <t>Tareas P3 — Deseables</t>
        </is>
      </c>
      <c r="C9" s="5">
        <f>COUNTIF(Roadmap!E:E,"P3 — Deseable")</f>
        <v/>
      </c>
    </row>
    <row r="10">
      <c r="A10" s="4" t="inlineStr">
        <is>
          <t>Tareas completadas</t>
        </is>
      </c>
      <c r="C10" s="5">
        <f>COUNTIF(Roadmap!F:F,"Completado")</f>
        <v/>
      </c>
    </row>
    <row r="11">
      <c r="A11" s="4" t="inlineStr">
        <is>
          <t>Tareas en progreso</t>
        </is>
      </c>
      <c r="C11" s="5">
        <f>COUNTIF(Roadmap!F:F,"En progreso")</f>
        <v/>
      </c>
    </row>
    <row r="12">
      <c r="A12" s="4" t="inlineStr">
        <is>
          <t>Tareas pendientes</t>
        </is>
      </c>
      <c r="C12" s="5">
        <f>COUNTIF(Roadmap!F:F,"Pendiente")</f>
        <v/>
      </c>
    </row>
    <row r="13">
      <c r="A13" s="4" t="inlineStr">
        <is>
          <t>Horas totales estimadas</t>
        </is>
      </c>
      <c r="C13" s="6">
        <f>SUM(Roadmap!G2:G80)</f>
        <v/>
      </c>
    </row>
    <row r="14">
      <c r="A14" s="4" t="inlineStr">
        <is>
          <t>Costo mensual mínimo (USD)</t>
        </is>
      </c>
      <c r="C14" s="7">
        <f>Servicios externos!D17</f>
        <v/>
      </c>
    </row>
    <row r="17">
      <c r="A17" s="3" t="inlineStr">
        <is>
          <t>CÓMO USAR ESTA HOJA</t>
        </is>
      </c>
    </row>
    <row r="18">
      <c r="A18" s="8" t="inlineStr">
        <is>
          <t>1. La hoja "Roadmap" tiene TODAS las tareas. Usá el filtro automático para ver por categoría/prioridad/estado.</t>
        </is>
      </c>
    </row>
    <row r="19">
      <c r="A19" s="8" t="inlineStr">
        <is>
          <t>2. La hoja "Sprint 1" es el plan día por día para llegar a MVP launchable en 1 semana.</t>
        </is>
      </c>
    </row>
    <row r="20">
      <c r="A20" s="8" t="inlineStr">
        <is>
          <t>3. La hoja "Compliance" es el checklist legal/regulatorio. Sin esto, riesgo legal alto.</t>
        </is>
      </c>
    </row>
    <row r="21">
      <c r="A21" s="8" t="inlineStr">
        <is>
          <t>4. La hoja "Servicios externos" lista todo lo que hay que contratar y cuánto cuesta.</t>
        </is>
      </c>
    </row>
    <row r="22">
      <c r="A22" s="8" t="inlineStr">
        <is>
          <t>5. Marcá las tareas como "Completado" en la columna Estado para ver progreso.</t>
        </is>
      </c>
    </row>
    <row r="23">
      <c r="A23" s="8" t="inlineStr">
        <is>
          <t>6. Los KPIs de arriba se actualizan automáticamente al cambiar estados.</t>
        </is>
      </c>
    </row>
    <row r="26">
      <c r="A26" s="3" t="inlineStr">
        <is>
          <t>LEYENDA DE PRIORIDADES</t>
        </is>
      </c>
    </row>
    <row r="27">
      <c r="A27" s="9" t="inlineStr">
        <is>
          <t>P0 — Bloqueante</t>
        </is>
      </c>
      <c r="B27" s="8" t="inlineStr">
        <is>
          <t>Sin esto NO se puede lanzar. Bloquea operación legal, técnica o comercialmente.</t>
        </is>
      </c>
    </row>
    <row r="28">
      <c r="A28" s="10" t="inlineStr">
        <is>
          <t>P1 — Crítico</t>
        </is>
      </c>
      <c r="B28" s="8" t="inlineStr">
        <is>
          <t>Se puede lanzar sin esto pero CHURN alto o riesgo de incidentes en semana 1.</t>
        </is>
      </c>
    </row>
    <row r="29">
      <c r="A29" s="11" t="inlineStr">
        <is>
          <t>P2 — Importante</t>
        </is>
      </c>
      <c r="B29" s="8" t="inlineStr">
        <is>
          <t>Mejora la experiencia y reduce churn. Para post-MVP en primeras 4 semanas.</t>
        </is>
      </c>
    </row>
    <row r="30">
      <c r="A30" s="12" t="inlineStr">
        <is>
          <t>P3 — Deseable</t>
        </is>
      </c>
      <c r="B30" s="8" t="inlineStr">
        <is>
          <t>Nice-to-have. Backlog para después de validar product-market fit.</t>
        </is>
      </c>
    </row>
  </sheetData>
  <mergeCells count="12">
    <mergeCell ref="B30:F30"/>
    <mergeCell ref="A2:F2"/>
    <mergeCell ref="B29:F29"/>
    <mergeCell ref="A19:F19"/>
    <mergeCell ref="A1:F1"/>
    <mergeCell ref="A23:F23"/>
    <mergeCell ref="B28:F28"/>
    <mergeCell ref="A22:F22"/>
    <mergeCell ref="A18:F18"/>
    <mergeCell ref="A20:F20"/>
    <mergeCell ref="A21:F21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60" customWidth="1" min="4" max="4"/>
    <col width="18" customWidth="1" min="5" max="5"/>
    <col width="14" customWidth="1" min="6" max="6"/>
    <col width="10" customWidth="1" min="7" max="7"/>
    <col width="28" customWidth="1" min="8" max="8"/>
    <col width="18" customWidth="1" min="9" max="9"/>
    <col width="50" customWidth="1" min="10" max="10"/>
  </cols>
  <sheetData>
    <row r="1" ht="32" customHeight="1">
      <c r="A1" s="13" t="inlineStr">
        <is>
          <t>ID</t>
        </is>
      </c>
      <c r="B1" s="13" t="inlineStr">
        <is>
          <t>Categoría</t>
        </is>
      </c>
      <c r="C1" s="13" t="inlineStr">
        <is>
          <t>Tarea</t>
        </is>
      </c>
      <c r="D1" s="13" t="inlineStr">
        <is>
          <t>Descripción</t>
        </is>
      </c>
      <c r="E1" s="13" t="inlineStr">
        <is>
          <t>Prioridad</t>
        </is>
      </c>
      <c r="F1" s="13" t="inlineStr">
        <is>
          <t>Estado</t>
        </is>
      </c>
      <c r="G1" s="13" t="inlineStr">
        <is>
          <t>Effort (h)</t>
        </is>
      </c>
      <c r="H1" s="13" t="inlineStr">
        <is>
          <t>Dependencias</t>
        </is>
      </c>
      <c r="I1" s="13" t="inlineStr">
        <is>
          <t>Owner sugerido</t>
        </is>
      </c>
      <c r="J1" s="13" t="inlineStr">
        <is>
          <t>Notas</t>
        </is>
      </c>
    </row>
    <row r="2">
      <c r="A2" s="14" t="inlineStr">
        <is>
          <t>L01</t>
        </is>
      </c>
      <c r="B2" s="15" t="inlineStr">
        <is>
          <t>Legal y Compliance</t>
        </is>
      </c>
      <c r="C2" s="14" t="inlineStr">
        <is>
          <t>Términos y Condiciones legalmente válidos</t>
        </is>
      </c>
      <c r="D2" s="14" t="inlineStr">
        <is>
          <t>Texto legal redactado por abogado, adaptado a Venezuela y al rubro médico. Cubre limitación de responsabilidad, propiedad intelectual, política de uso aceptable.</t>
        </is>
      </c>
      <c r="E2" s="16" t="inlineStr">
        <is>
          <t>P0 — Bloqueante</t>
        </is>
      </c>
      <c r="F2" s="14" t="inlineStr">
        <is>
          <t>Pendiente</t>
        </is>
      </c>
      <c r="G2" s="14" t="n">
        <v>4</v>
      </c>
      <c r="H2" s="14" t="inlineStr">
        <is>
          <t>Abogado externo</t>
        </is>
      </c>
      <c r="I2" s="14" t="inlineStr">
        <is>
          <t>Jesús + abogado</t>
        </is>
      </c>
      <c r="J2" s="14" t="inlineStr">
        <is>
          <t>Hoy hay /terms con texto genérico. Reemplazar con documento legal real.</t>
        </is>
      </c>
    </row>
    <row r="3">
      <c r="A3" s="14" t="inlineStr">
        <is>
          <t>L02</t>
        </is>
      </c>
      <c r="B3" s="15" t="inlineStr">
        <is>
          <t>Legal y Compliance</t>
        </is>
      </c>
      <c r="C3" s="14" t="inlineStr">
        <is>
          <t>Política de Privacidad LOPDPDP Venezuela</t>
        </is>
      </c>
      <c r="D3" s="14" t="inlineStr">
        <is>
          <t>Cumplimiento Ley Orgánica de Protección de Datos Personales. Detalla qué datos se recolectan, finalidad, base legal, derechos del titular (acceso, rectificación, cancelación, oposición), transferencias internacionales (Supabase US).</t>
        </is>
      </c>
      <c r="E3" s="16" t="inlineStr">
        <is>
          <t>P0 — Bloqueante</t>
        </is>
      </c>
      <c r="F3" s="14" t="inlineStr">
        <is>
          <t>Pendiente</t>
        </is>
      </c>
      <c r="G3" s="14" t="n">
        <v>6</v>
      </c>
      <c r="H3" s="14" t="inlineStr">
        <is>
          <t>Abogado externo</t>
        </is>
      </c>
      <c r="I3" s="14" t="inlineStr">
        <is>
          <t>Jesús + abogado</t>
        </is>
      </c>
      <c r="J3" s="14" t="inlineStr">
        <is>
          <t>Crítico para datos médicos. SIN ESTO no se puede operar legal.</t>
        </is>
      </c>
    </row>
    <row r="4">
      <c r="A4" s="14" t="inlineStr">
        <is>
          <t>L03</t>
        </is>
      </c>
      <c r="B4" s="15" t="inlineStr">
        <is>
          <t>Legal y Compliance</t>
        </is>
      </c>
      <c r="C4" s="14" t="inlineStr">
        <is>
          <t>Cookies banner / Consentimiento</t>
        </is>
      </c>
      <c r="D4" s="14" t="inlineStr">
        <is>
          <t>Banner que aparece al primer visit, con opciones aceptar/rechazar/personalizar. Solo cookies funcionales sin consent explícito.</t>
        </is>
      </c>
      <c r="E4" s="17" t="inlineStr">
        <is>
          <t>P1 — Crítico</t>
        </is>
      </c>
      <c r="F4" s="14" t="inlineStr">
        <is>
          <t>Pendiente</t>
        </is>
      </c>
      <c r="G4" s="14" t="n">
        <v>3</v>
      </c>
      <c r="H4" s="14" t="inlineStr">
        <is>
          <t>Claude</t>
        </is>
      </c>
      <c r="I4" s="14" t="inlineStr">
        <is>
          <t>Implementación</t>
        </is>
      </c>
      <c r="J4" s="14" t="inlineStr">
        <is>
          <t>Componente standalone, ~1 sesión.</t>
        </is>
      </c>
    </row>
    <row r="5">
      <c r="A5" s="14" t="inlineStr">
        <is>
          <t>L04</t>
        </is>
      </c>
      <c r="B5" s="15" t="inlineStr">
        <is>
          <t>Legal y Compliance</t>
        </is>
      </c>
      <c r="C5" s="14" t="inlineStr">
        <is>
          <t>Facturación electrónica SENIAT</t>
        </is>
      </c>
      <c r="D5" s="14" t="inlineStr">
        <is>
          <t>Integración con sistema SENIAT para emitir facturas electrónicas a doctores cuando paguen suscripción. Requerido por ley para operaciones B2B.</t>
        </is>
      </c>
      <c r="E5" s="17" t="inlineStr">
        <is>
          <t>P1 — Crítico</t>
        </is>
      </c>
      <c r="F5" s="14" t="inlineStr">
        <is>
          <t>Pendiente</t>
        </is>
      </c>
      <c r="G5" s="14" t="n">
        <v>16</v>
      </c>
      <c r="H5" s="14" t="inlineStr">
        <is>
          <t>Externo (servicio facturación)</t>
        </is>
      </c>
      <c r="I5" s="14" t="inlineStr">
        <is>
          <t>Externo</t>
        </is>
      </c>
      <c r="J5" s="14" t="inlineStr">
        <is>
          <t>Hay APIs como Conectae, Tehiwolf. Requiere RIF empresa.</t>
        </is>
      </c>
    </row>
    <row r="6">
      <c r="A6" s="14" t="inlineStr">
        <is>
          <t>L05</t>
        </is>
      </c>
      <c r="B6" s="15" t="inlineStr">
        <is>
          <t>Legal y Compliance</t>
        </is>
      </c>
      <c r="C6" s="14" t="inlineStr">
        <is>
          <t>Recetas electrónicas legalmente válidas</t>
        </is>
      </c>
      <c r="D6" s="14" t="inlineStr">
        <is>
          <t>Recetas con QR + firma digital del médico. Validación con Colegio de Médicos.</t>
        </is>
      </c>
      <c r="E6" s="18" t="inlineStr">
        <is>
          <t>P2 — Importante</t>
        </is>
      </c>
      <c r="F6" s="14" t="inlineStr">
        <is>
          <t>Pendiente</t>
        </is>
      </c>
      <c r="G6" s="14" t="n">
        <v>12</v>
      </c>
      <c r="H6" s="14" t="inlineStr">
        <is>
          <t>Investigación legal previa</t>
        </is>
      </c>
      <c r="I6" s="14" t="inlineStr">
        <is>
          <t>Jesús</t>
        </is>
      </c>
      <c r="J6" s="14" t="inlineStr">
        <is>
          <t>Hoy las recetas son PDFs. Investigar si farmacias VE las aceptan o requieren firma electrónica certificada.</t>
        </is>
      </c>
    </row>
    <row r="7">
      <c r="A7" s="14" t="inlineStr">
        <is>
          <t>L06</t>
        </is>
      </c>
      <c r="B7" s="15" t="inlineStr">
        <is>
          <t>Legal y Compliance</t>
        </is>
      </c>
      <c r="C7" s="14" t="inlineStr">
        <is>
          <t>Data Processing Agreement con proveedores</t>
        </is>
      </c>
      <c r="D7" s="14" t="inlineStr">
        <is>
          <t>Acuerdos firmados con Supabase, Vercel, OpenAI/Gemini, Resend. Requeridos si manejas datos médicos.</t>
        </is>
      </c>
      <c r="E7" s="17" t="inlineStr">
        <is>
          <t>P1 — Crítico</t>
        </is>
      </c>
      <c r="F7" s="14" t="inlineStr">
        <is>
          <t>Pendiente</t>
        </is>
      </c>
      <c r="G7" s="14" t="n">
        <v>4</v>
      </c>
      <c r="H7" s="14" t="inlineStr">
        <is>
          <t>Abogado externo</t>
        </is>
      </c>
      <c r="I7" s="14" t="inlineStr">
        <is>
          <t>Jesús</t>
        </is>
      </c>
      <c r="J7" s="14" t="inlineStr">
        <is>
          <t>Algunos proveedores tienen DPA estándar (Supabase). Otros (Gemini) requieren tier empresa.</t>
        </is>
      </c>
    </row>
    <row r="8">
      <c r="A8" s="14" t="inlineStr">
        <is>
          <t>L07</t>
        </is>
      </c>
      <c r="B8" s="15" t="inlineStr">
        <is>
          <t>Legal y Compliance</t>
        </is>
      </c>
      <c r="C8" s="14" t="inlineStr">
        <is>
          <t>Right to be Forgotten / Data Export</t>
        </is>
      </c>
      <c r="D8" s="14" t="inlineStr">
        <is>
          <t>Endpoint para que usuario pida eliminación total + export de sus datos en formato portable (JSON/CSV).</t>
        </is>
      </c>
      <c r="E8" s="18" t="inlineStr">
        <is>
          <t>P2 — Importante</t>
        </is>
      </c>
      <c r="F8" s="14" t="inlineStr">
        <is>
          <t>Pendiente</t>
        </is>
      </c>
      <c r="G8" s="14" t="n">
        <v>6</v>
      </c>
      <c r="H8" s="14" t="inlineStr">
        <is>
          <t>L02 publicado</t>
        </is>
      </c>
      <c r="I8" s="14" t="inlineStr">
        <is>
          <t>Claude</t>
        </is>
      </c>
      <c r="J8" s="14" t="inlineStr">
        <is>
          <t>Requerido por LOPDPDP. UI en /settings → "Mis datos".</t>
        </is>
      </c>
    </row>
    <row r="9">
      <c r="A9" s="14" t="inlineStr">
        <is>
          <t>I01</t>
        </is>
      </c>
      <c r="B9" s="19" t="inlineStr">
        <is>
          <t>Infraestructura</t>
        </is>
      </c>
      <c r="C9" s="14" t="inlineStr">
        <is>
          <t>Dominio propio</t>
        </is>
      </c>
      <c r="D9" s="14" t="inlineStr">
        <is>
          <t>Comprar dominio (ej. deltamedical.com.ve, deltahealth.app, ~$10-30/año). Conectar a Vercel via Settings → Domains. Apuntar DNS.</t>
        </is>
      </c>
      <c r="E9" s="16" t="inlineStr">
        <is>
          <t>P0 — Bloqueante</t>
        </is>
      </c>
      <c r="F9" s="14" t="inlineStr">
        <is>
          <t>Pendiente</t>
        </is>
      </c>
      <c r="G9" s="14" t="n">
        <v>2</v>
      </c>
      <c r="H9" s="14" t="inlineStr">
        <is>
          <t>—</t>
        </is>
      </c>
      <c r="I9" s="14" t="inlineStr">
        <is>
          <t>Jesús</t>
        </is>
      </c>
      <c r="J9" s="14" t="inlineStr">
        <is>
          <t>Bloquea Google OAuth verification y publicación oficial.</t>
        </is>
      </c>
    </row>
    <row r="10">
      <c r="A10" s="14" t="inlineStr">
        <is>
          <t>I02</t>
        </is>
      </c>
      <c r="B10" s="19" t="inlineStr">
        <is>
          <t>Infraestructura</t>
        </is>
      </c>
      <c r="C10" s="14" t="inlineStr">
        <is>
          <t>SSL/TLS automático</t>
        </is>
      </c>
      <c r="D10" s="14" t="inlineStr">
        <is>
          <t>Vercel lo provee automáticamente al conectar dominio. Validar que funciona post-conexión.</t>
        </is>
      </c>
      <c r="E10" s="16" t="inlineStr">
        <is>
          <t>P0 — Bloqueante</t>
        </is>
      </c>
      <c r="F10" s="14" t="inlineStr">
        <is>
          <t>Pendiente</t>
        </is>
      </c>
      <c r="G10" s="14" t="n">
        <v>0.5</v>
      </c>
      <c r="H10" s="14" t="inlineStr">
        <is>
          <t>I01</t>
        </is>
      </c>
      <c r="I10" s="14" t="inlineStr">
        <is>
          <t>Verificación</t>
        </is>
      </c>
      <c r="J10" s="14" t="inlineStr">
        <is>
          <t>Solo verificación, Vercel lo hace solo.</t>
        </is>
      </c>
    </row>
    <row r="11">
      <c r="A11" s="14" t="inlineStr">
        <is>
          <t>I03</t>
        </is>
      </c>
      <c r="B11" s="19" t="inlineStr">
        <is>
          <t>Infraestructura</t>
        </is>
      </c>
      <c r="C11" s="14" t="inlineStr">
        <is>
          <t>Backups automáticos validados</t>
        </is>
      </c>
      <c r="D11" s="14" t="inlineStr">
        <is>
          <t>Supabase hace daily backups en plan Pro. Validar restore funcional con un test mensual.</t>
        </is>
      </c>
      <c r="E11" s="17" t="inlineStr">
        <is>
          <t>P1 — Crítico</t>
        </is>
      </c>
      <c r="F11" s="14" t="inlineStr">
        <is>
          <t>Pendiente</t>
        </is>
      </c>
      <c r="G11" s="14" t="n">
        <v>2</v>
      </c>
      <c r="H11" s="14" t="inlineStr">
        <is>
          <t>Supabase Pro plan</t>
        </is>
      </c>
      <c r="I11" s="14" t="inlineStr">
        <is>
          <t>Jesús</t>
        </is>
      </c>
      <c r="J11" s="14" t="inlineStr">
        <is>
          <t>Plan Pro: $25/mes. Free no garantiza backups.</t>
        </is>
      </c>
    </row>
    <row r="12">
      <c r="A12" s="14" t="inlineStr">
        <is>
          <t>I04</t>
        </is>
      </c>
      <c r="B12" s="19" t="inlineStr">
        <is>
          <t>Infraestructura</t>
        </is>
      </c>
      <c r="C12" s="14" t="inlineStr">
        <is>
          <t>Monitoreo errores (Sentry / LogTail)</t>
        </is>
      </c>
      <c r="D12" s="14" t="inlineStr">
        <is>
          <t>Capturar errores frontend y backend. Alertas a Slack/email cuando falla algo en producción.</t>
        </is>
      </c>
      <c r="E12" s="17" t="inlineStr">
        <is>
          <t>P1 — Crítico</t>
        </is>
      </c>
      <c r="F12" s="14" t="inlineStr">
        <is>
          <t>Pendiente</t>
        </is>
      </c>
      <c r="G12" s="14" t="n">
        <v>3</v>
      </c>
      <c r="H12" s="14" t="inlineStr">
        <is>
          <t>—</t>
        </is>
      </c>
      <c r="I12" s="14" t="inlineStr">
        <is>
          <t>Claude</t>
        </is>
      </c>
      <c r="J12" s="14" t="inlineStr">
        <is>
          <t>Sentry free tier alcanza para empezar.</t>
        </is>
      </c>
    </row>
    <row r="13">
      <c r="A13" s="14" t="inlineStr">
        <is>
          <t>I05</t>
        </is>
      </c>
      <c r="B13" s="19" t="inlineStr">
        <is>
          <t>Infraestructura</t>
        </is>
      </c>
      <c r="C13" s="14" t="inlineStr">
        <is>
          <t>Status page público</t>
        </is>
      </c>
      <c r="D13" s="14" t="inlineStr">
        <is>
          <t>instatus.com o status.io — muestra uptime, incidents. Genera confianza.</t>
        </is>
      </c>
      <c r="E13" s="20" t="inlineStr">
        <is>
          <t>P3 — Deseable</t>
        </is>
      </c>
      <c r="F13" s="14" t="inlineStr">
        <is>
          <t>Pendiente</t>
        </is>
      </c>
      <c r="G13" s="14" t="n">
        <v>2</v>
      </c>
      <c r="H13" s="14" t="inlineStr">
        <is>
          <t>—</t>
        </is>
      </c>
      <c r="I13" s="14" t="inlineStr">
        <is>
          <t>Externo</t>
        </is>
      </c>
      <c r="J13" s="14" t="inlineStr">
        <is>
          <t>Free tier suficiente.</t>
        </is>
      </c>
    </row>
    <row r="14">
      <c r="A14" s="14" t="inlineStr">
        <is>
          <t>I06</t>
        </is>
      </c>
      <c r="B14" s="19" t="inlineStr">
        <is>
          <t>Infraestructura</t>
        </is>
      </c>
      <c r="C14" s="14" t="inlineStr">
        <is>
          <t>CI/CD con tests pre-deploy</t>
        </is>
      </c>
      <c r="D14" s="14" t="inlineStr">
        <is>
          <t>GitHub Actions: corre TS check + build + tests críticos antes de mergear a main.</t>
        </is>
      </c>
      <c r="E14" s="18" t="inlineStr">
        <is>
          <t>P2 — Importante</t>
        </is>
      </c>
      <c r="F14" s="14" t="inlineStr">
        <is>
          <t>Pendiente</t>
        </is>
      </c>
      <c r="G14" s="14" t="n">
        <v>4</v>
      </c>
      <c r="H14" s="14" t="inlineStr">
        <is>
          <t>—</t>
        </is>
      </c>
      <c r="I14" s="14" t="inlineStr">
        <is>
          <t>Claude</t>
        </is>
      </c>
      <c r="J14" s="14" t="inlineStr">
        <is>
          <t>Hoy todo se mergea directo a main sin gates.</t>
        </is>
      </c>
    </row>
    <row r="15">
      <c r="A15" s="14" t="inlineStr">
        <is>
          <t>S01</t>
        </is>
      </c>
      <c r="B15" s="21" t="inlineStr">
        <is>
          <t>Seguridad</t>
        </is>
      </c>
      <c r="C15" s="14" t="inlineStr">
        <is>
          <t>Rate limiting</t>
        </is>
      </c>
      <c r="D15" s="14" t="inlineStr">
        <is>
          <t>Limitar requests por IP en endpoints sensibles (/login, /register, /api/book, /api/doctor/subscription/checkout). Vercel Edge Middleware.</t>
        </is>
      </c>
      <c r="E15" s="16" t="inlineStr">
        <is>
          <t>P0 — Bloqueante</t>
        </is>
      </c>
      <c r="F15" s="14" t="inlineStr">
        <is>
          <t>Pendiente</t>
        </is>
      </c>
      <c r="G15" s="14" t="n">
        <v>4</v>
      </c>
      <c r="H15" s="14" t="inlineStr">
        <is>
          <t>—</t>
        </is>
      </c>
      <c r="I15" s="14" t="inlineStr">
        <is>
          <t>Claude</t>
        </is>
      </c>
      <c r="J15" s="14" t="inlineStr">
        <is>
          <t>Sin esto, vulnerable a brute force y DoS.</t>
        </is>
      </c>
    </row>
    <row r="16">
      <c r="A16" s="14" t="inlineStr">
        <is>
          <t>S02</t>
        </is>
      </c>
      <c r="B16" s="21" t="inlineStr">
        <is>
          <t>Seguridad</t>
        </is>
      </c>
      <c r="C16" s="14" t="inlineStr">
        <is>
          <t>CAPTCHA en signup/login</t>
        </is>
      </c>
      <c r="D16" s="14" t="inlineStr">
        <is>
          <t>Cloudflare Turnstile (gratis, sin tracking) en /register, /login, /patient/register. Bloquea bots.</t>
        </is>
      </c>
      <c r="E16" s="17" t="inlineStr">
        <is>
          <t>P1 — Crítico</t>
        </is>
      </c>
      <c r="F16" s="14" t="inlineStr">
        <is>
          <t>Pendiente</t>
        </is>
      </c>
      <c r="G16" s="14" t="n">
        <v>3</v>
      </c>
      <c r="H16" s="14" t="inlineStr">
        <is>
          <t>—</t>
        </is>
      </c>
      <c r="I16" s="14" t="inlineStr">
        <is>
          <t>Claude</t>
        </is>
      </c>
      <c r="J16" s="14" t="inlineStr">
        <is>
          <t>Turnstile es alternativa privacy-friendly a reCAPTCHA.</t>
        </is>
      </c>
    </row>
    <row r="17">
      <c r="A17" s="14" t="inlineStr">
        <is>
          <t>S03</t>
        </is>
      </c>
      <c r="B17" s="21" t="inlineStr">
        <is>
          <t>Seguridad</t>
        </is>
      </c>
      <c r="C17" s="14" t="inlineStr">
        <is>
          <t>Headers de seguridad (CSP, HSTS, X-Frame)</t>
        </is>
      </c>
      <c r="D17" s="14" t="inlineStr">
        <is>
          <t>Configurar Content-Security-Policy estricta, HSTS, X-Frame-Options DENY, Referrer-Policy. Validar con securityheaders.com → A+.</t>
        </is>
      </c>
      <c r="E17" s="17" t="inlineStr">
        <is>
          <t>P1 — Crítico</t>
        </is>
      </c>
      <c r="F17" s="14" t="inlineStr">
        <is>
          <t>Pendiente</t>
        </is>
      </c>
      <c r="G17" s="14" t="n">
        <v>4</v>
      </c>
      <c r="H17" s="14" t="inlineStr">
        <is>
          <t>—</t>
        </is>
      </c>
      <c r="I17" s="14" t="inlineStr">
        <is>
          <t>Claude</t>
        </is>
      </c>
      <c r="J17" s="14" t="inlineStr">
        <is>
          <t>Mitiga XSS, clickjacking, MITM.</t>
        </is>
      </c>
    </row>
    <row r="18">
      <c r="A18" s="14" t="inlineStr">
        <is>
          <t>S04</t>
        </is>
      </c>
      <c r="B18" s="21" t="inlineStr">
        <is>
          <t>Seguridad</t>
        </is>
      </c>
      <c r="C18" s="14" t="inlineStr">
        <is>
          <t>Auditoría completa de RLS</t>
        </is>
      </c>
      <c r="D18" s="14" t="inlineStr">
        <is>
          <t>Revisar todas las tablas de Supabase. Cada una debe tener policies que prevengan acceso cruzado entre doctores. Sin RLS o con policies débiles = leak.</t>
        </is>
      </c>
      <c r="E18" s="16" t="inlineStr">
        <is>
          <t>P0 — Bloqueante</t>
        </is>
      </c>
      <c r="F18" s="14" t="inlineStr">
        <is>
          <t>Pendiente</t>
        </is>
      </c>
      <c r="G18" s="14" t="n">
        <v>8</v>
      </c>
      <c r="H18" s="14" t="inlineStr">
        <is>
          <t>—</t>
        </is>
      </c>
      <c r="I18" s="14" t="inlineStr">
        <is>
          <t>Claude</t>
        </is>
      </c>
      <c r="J18" s="14" t="inlineStr">
        <is>
          <t>CRÍTICO. Si falla, un doctor puede ver pacientes de otro.</t>
        </is>
      </c>
    </row>
    <row r="19">
      <c r="A19" s="14" t="inlineStr">
        <is>
          <t>S05</t>
        </is>
      </c>
      <c r="B19" s="21" t="inlineStr">
        <is>
          <t>Seguridad</t>
        </is>
      </c>
      <c r="C19" s="14" t="inlineStr">
        <is>
          <t>Webhook signing</t>
        </is>
      </c>
      <c r="D19" s="14" t="inlineStr">
        <is>
          <t>Si en algún momento se exponen webhooks (ej. Stripe), validar signature. Hoy no hay webhooks expuestos pero documentar pattern.</t>
        </is>
      </c>
      <c r="E19" s="20" t="inlineStr">
        <is>
          <t>P3 — Deseable</t>
        </is>
      </c>
      <c r="F19" s="14" t="inlineStr">
        <is>
          <t>Pendiente</t>
        </is>
      </c>
      <c r="G19" s="14" t="n">
        <v>2</v>
      </c>
      <c r="H19" s="14" t="inlineStr">
        <is>
          <t>Stripe integration</t>
        </is>
      </c>
      <c r="I19" s="14" t="inlineStr">
        <is>
          <t>Claude</t>
        </is>
      </c>
      <c r="J19" s="14" t="inlineStr">
        <is>
          <t>Solo cuando Stripe esté en juego.</t>
        </is>
      </c>
    </row>
    <row r="20">
      <c r="A20" s="14" t="inlineStr">
        <is>
          <t>S06</t>
        </is>
      </c>
      <c r="B20" s="21" t="inlineStr">
        <is>
          <t>Seguridad</t>
        </is>
      </c>
      <c r="C20" s="14" t="inlineStr">
        <is>
          <t>2FA opcional para super_admin</t>
        </is>
      </c>
      <c r="D20" s="14" t="inlineStr">
        <is>
          <t>Activar TOTP (Google Authenticator) para cuenta de super_admin. Supabase Auth lo soporta.</t>
        </is>
      </c>
      <c r="E20" s="18" t="inlineStr">
        <is>
          <t>P2 — Importante</t>
        </is>
      </c>
      <c r="F20" s="14" t="inlineStr">
        <is>
          <t>Pendiente</t>
        </is>
      </c>
      <c r="G20" s="14" t="n">
        <v>4</v>
      </c>
      <c r="H20" s="14" t="inlineStr">
        <is>
          <t>—</t>
        </is>
      </c>
      <c r="I20" s="14" t="inlineStr">
        <is>
          <t>Claude</t>
        </is>
      </c>
      <c r="J20" s="14" t="inlineStr">
        <is>
          <t>Cuenta admin compromete TODO el sistema. Vale la pena.</t>
        </is>
      </c>
    </row>
    <row r="21">
      <c r="A21" s="14" t="inlineStr">
        <is>
          <t>S07</t>
        </is>
      </c>
      <c r="B21" s="21" t="inlineStr">
        <is>
          <t>Seguridad</t>
        </is>
      </c>
      <c r="C21" s="14" t="inlineStr">
        <is>
          <t>Pentesting / security audit externo</t>
        </is>
      </c>
      <c r="D21" s="14" t="inlineStr">
        <is>
          <t>Contratar pentester o usar HackerOne/Bugcrowd. Antes de tener muchos doctores.</t>
        </is>
      </c>
      <c r="E21" s="18" t="inlineStr">
        <is>
          <t>P2 — Importante</t>
        </is>
      </c>
      <c r="F21" s="14" t="inlineStr">
        <is>
          <t>Pendiente</t>
        </is>
      </c>
      <c r="G21" s="14" t="n">
        <v>0</v>
      </c>
      <c r="H21" s="14" t="inlineStr">
        <is>
          <t>Producción + 100 doctores</t>
        </is>
      </c>
      <c r="I21" s="14" t="inlineStr">
        <is>
          <t>Externo</t>
        </is>
      </c>
      <c r="J21" s="14" t="inlineStr">
        <is>
          <t>Costo: $1-5K para una primera ronda.</t>
        </is>
      </c>
    </row>
    <row r="22">
      <c r="A22" s="14" t="inlineStr">
        <is>
          <t>S08</t>
        </is>
      </c>
      <c r="B22" s="21" t="inlineStr">
        <is>
          <t>Seguridad</t>
        </is>
      </c>
      <c r="C22" s="14" t="inlineStr">
        <is>
          <t>Rotación periódica de secrets</t>
        </is>
      </c>
      <c r="D22" s="14" t="inlineStr">
        <is>
          <t>Documentar proceso para rotar SUPABASE_SERVICE_ROLE_KEY, GOOGLE_CLIENT_SECRET, GEMINI_API_KEY cada 90 días.</t>
        </is>
      </c>
      <c r="E22" s="20" t="inlineStr">
        <is>
          <t>P3 — Deseable</t>
        </is>
      </c>
      <c r="F22" s="14" t="inlineStr">
        <is>
          <t>Pendiente</t>
        </is>
      </c>
      <c r="G22" s="14" t="n">
        <v>1</v>
      </c>
      <c r="H22" s="14" t="inlineStr">
        <is>
          <t>—</t>
        </is>
      </c>
      <c r="I22" s="14" t="inlineStr">
        <is>
          <t>Jesús</t>
        </is>
      </c>
      <c r="J22" s="14" t="inlineStr">
        <is>
          <t>Solo runbook escrito, no implementación.</t>
        </is>
      </c>
    </row>
    <row r="23">
      <c r="A23" s="14" t="inlineStr">
        <is>
          <t>A01</t>
        </is>
      </c>
      <c r="B23" s="22" t="inlineStr">
        <is>
          <t>Auth &amp; Onboarding</t>
        </is>
      </c>
      <c r="C23" s="14" t="inlineStr">
        <is>
          <t>Google OAuth funcionando</t>
        </is>
      </c>
      <c r="D23" s="14" t="inlineStr">
        <is>
          <t>Crear nuevo OAuth Client en Google Cloud + actualizar Supabase Auth + actualizar Vercel env vars + verificar test users.</t>
        </is>
      </c>
      <c r="E23" s="16" t="inlineStr">
        <is>
          <t>P0 — Bloqueante</t>
        </is>
      </c>
      <c r="F23" s="23" t="inlineStr">
        <is>
          <t>En progreso</t>
        </is>
      </c>
      <c r="G23" s="14" t="n">
        <v>2</v>
      </c>
      <c r="H23" s="14" t="inlineStr">
        <is>
          <t>—</t>
        </is>
      </c>
      <c r="I23" s="14" t="inlineStr">
        <is>
          <t>Jesús + Claude</t>
        </is>
      </c>
      <c r="J23" s="14" t="inlineStr">
        <is>
          <t>EN CURSO. Bloquea registros con Google.</t>
        </is>
      </c>
    </row>
    <row r="24">
      <c r="A24" s="14" t="inlineStr">
        <is>
          <t>A02</t>
        </is>
      </c>
      <c r="B24" s="22" t="inlineStr">
        <is>
          <t>Auth &amp; Onboarding</t>
        </is>
      </c>
      <c r="C24" s="14" t="inlineStr">
        <is>
          <t>Reset de contraseña</t>
        </is>
      </c>
      <c r="D24" s="14" t="inlineStr">
        <is>
          <t>Página /forgot-password + email con link → /reset-password. Supabase Auth provee API.</t>
        </is>
      </c>
      <c r="E24" s="16" t="inlineStr">
        <is>
          <t>P0 — Bloqueante</t>
        </is>
      </c>
      <c r="F24" s="14" t="inlineStr">
        <is>
          <t>Pendiente</t>
        </is>
      </c>
      <c r="G24" s="14" t="n">
        <v>2</v>
      </c>
      <c r="H24" s="14" t="inlineStr">
        <is>
          <t>—</t>
        </is>
      </c>
      <c r="I24" s="14" t="inlineStr">
        <is>
          <t>Claude</t>
        </is>
      </c>
      <c r="J24" s="14" t="inlineStr">
        <is>
          <t>Sin esto, usuarios pierden acceso para siempre.</t>
        </is>
      </c>
    </row>
    <row r="25">
      <c r="A25" s="14" t="inlineStr">
        <is>
          <t>A03</t>
        </is>
      </c>
      <c r="B25" s="22" t="inlineStr">
        <is>
          <t>Auth &amp; Onboarding</t>
        </is>
      </c>
      <c r="C25" s="14" t="inlineStr">
        <is>
          <t>Email verification</t>
        </is>
      </c>
      <c r="D25" s="14" t="inlineStr">
        <is>
          <t>Hoy en beta auto-confirma emails. En producción debe pedir verificación real para evitar accounts fake.</t>
        </is>
      </c>
      <c r="E25" s="17" t="inlineStr">
        <is>
          <t>P1 — Crítico</t>
        </is>
      </c>
      <c r="F25" s="14" t="inlineStr">
        <is>
          <t>Pendiente</t>
        </is>
      </c>
      <c r="G25" s="14" t="n">
        <v>1</v>
      </c>
      <c r="H25" s="14" t="inlineStr">
        <is>
          <t>I01 dominio + N01 Resend</t>
        </is>
      </c>
      <c r="I25" s="14" t="inlineStr">
        <is>
          <t>Claude</t>
        </is>
      </c>
      <c r="J25" s="14" t="inlineStr">
        <is>
          <t>Cambiar email_confirm: false en createUser.</t>
        </is>
      </c>
    </row>
    <row r="26">
      <c r="A26" s="14" t="inlineStr">
        <is>
          <t>A04</t>
        </is>
      </c>
      <c r="B26" s="22" t="inlineStr">
        <is>
          <t>Auth &amp; Onboarding</t>
        </is>
      </c>
      <c r="C26" s="14" t="inlineStr">
        <is>
          <t>Tour interactivo onboarding doctor</t>
        </is>
      </c>
      <c r="D26" s="14" t="inlineStr">
        <is>
          <t>Después del primer login: guía paso a paso. "Crea tu primer paciente", "Configura tu agenda", etc. Librería: Driver.js o Intro.js.</t>
        </is>
      </c>
      <c r="E26" s="18" t="inlineStr">
        <is>
          <t>P2 — Importante</t>
        </is>
      </c>
      <c r="F26" s="14" t="inlineStr">
        <is>
          <t>Pendiente</t>
        </is>
      </c>
      <c r="G26" s="14" t="n">
        <v>6</v>
      </c>
      <c r="H26" s="14" t="inlineStr">
        <is>
          <t>A01</t>
        </is>
      </c>
      <c r="I26" s="14" t="inlineStr">
        <is>
          <t>Claude</t>
        </is>
      </c>
      <c r="J26" s="14" t="inlineStr">
        <is>
          <t>Reduce churn en primeros 7 días.</t>
        </is>
      </c>
    </row>
    <row r="27">
      <c r="A27" s="14" t="inlineStr">
        <is>
          <t>A05</t>
        </is>
      </c>
      <c r="B27" s="22" t="inlineStr">
        <is>
          <t>Auth &amp; Onboarding</t>
        </is>
      </c>
      <c r="C27" s="14" t="inlineStr">
        <is>
          <t>Welcome email sequence (5 emails)</t>
        </is>
      </c>
      <c r="D27" s="14" t="inlineStr">
        <is>
          <t>Día 0: Welcome + setup checklist. Día 2: Cómo agendar primera cita. Día 5: Tips. Día 10: Casos de uso. Día 20: Pedir feedback.</t>
        </is>
      </c>
      <c r="E27" s="18" t="inlineStr">
        <is>
          <t>P2 — Importante</t>
        </is>
      </c>
      <c r="F27" s="14" t="inlineStr">
        <is>
          <t>Pendiente</t>
        </is>
      </c>
      <c r="G27" s="14" t="n">
        <v>8</v>
      </c>
      <c r="H27" s="14" t="inlineStr">
        <is>
          <t>N01 Resend + I01 dominio</t>
        </is>
      </c>
      <c r="I27" s="14" t="inlineStr">
        <is>
          <t>Claude</t>
        </is>
      </c>
      <c r="J27" s="14" t="inlineStr">
        <is>
          <t>Cada email = 1 template + 1 trigger.</t>
        </is>
      </c>
    </row>
    <row r="28">
      <c r="A28" s="14" t="inlineStr">
        <is>
          <t>A06</t>
        </is>
      </c>
      <c r="B28" s="22" t="inlineStr">
        <is>
          <t>Auth &amp; Onboarding</t>
        </is>
      </c>
      <c r="C28" s="14" t="inlineStr">
        <is>
          <t>Demo data al registrarse</t>
        </is>
      </c>
      <c r="D28" s="14" t="inlineStr">
        <is>
          <t>Botón "Cargar datos de prueba" que crea 5 pacientes ficticios + 3 citas + 2 consultas. Para que el doctor explore.</t>
        </is>
      </c>
      <c r="E28" s="20" t="inlineStr">
        <is>
          <t>P3 — Deseable</t>
        </is>
      </c>
      <c r="F28" s="14" t="inlineStr">
        <is>
          <t>Pendiente</t>
        </is>
      </c>
      <c r="G28" s="14" t="n">
        <v>3</v>
      </c>
      <c r="H28" s="14" t="inlineStr">
        <is>
          <t>—</t>
        </is>
      </c>
      <c r="I28" s="14" t="inlineStr">
        <is>
          <t>Claude</t>
        </is>
      </c>
      <c r="J28" s="14" t="inlineStr">
        <is>
          <t>UX boost. Opcional.</t>
        </is>
      </c>
    </row>
    <row r="29">
      <c r="A29" s="14" t="inlineStr">
        <is>
          <t>F01</t>
        </is>
      </c>
      <c r="B29" s="24" t="inlineStr">
        <is>
          <t>Features Core</t>
        </is>
      </c>
      <c r="C29" s="14" t="inlineStr">
        <is>
          <t>Telemedicina (video calls)</t>
        </is>
      </c>
      <c r="D29" s="14" t="inlineStr">
        <is>
          <t>Para citas con appointment_mode = "online". Integrar Daily.co, Whereby, o Twilio Video. Sala única por cita.</t>
        </is>
      </c>
      <c r="E29" s="17" t="inlineStr">
        <is>
          <t>P1 — Crítico</t>
        </is>
      </c>
      <c r="F29" s="14" t="inlineStr">
        <is>
          <t>Pendiente</t>
        </is>
      </c>
      <c r="G29" s="14" t="n">
        <v>16</v>
      </c>
      <c r="H29" s="14" t="inlineStr">
        <is>
          <t>I01</t>
        </is>
      </c>
      <c r="I29" s="14" t="inlineStr">
        <is>
          <t>Claude + servicio video</t>
        </is>
      </c>
      <c r="J29" s="14" t="inlineStr">
        <is>
          <t>Hoy "online" es solo flag. No hay video real.</t>
        </is>
      </c>
    </row>
    <row r="30">
      <c r="A30" s="14" t="inlineStr">
        <is>
          <t>F02</t>
        </is>
      </c>
      <c r="B30" s="24" t="inlineStr">
        <is>
          <t>Features Core</t>
        </is>
      </c>
      <c r="C30" s="14" t="inlineStr">
        <is>
          <t>WhatsApp Business API real</t>
        </is>
      </c>
      <c r="D30" s="14" t="inlineStr">
        <is>
          <t>Hoy se usa wa.me/ que es link genérico. Integrar Cloud API oficial para enviar plantillas pre-aprobadas, recibir respuestas, etc.</t>
        </is>
      </c>
      <c r="E30" s="18" t="inlineStr">
        <is>
          <t>P2 — Importante</t>
        </is>
      </c>
      <c r="F30" s="14" t="inlineStr">
        <is>
          <t>Pendiente</t>
        </is>
      </c>
      <c r="G30" s="14" t="n">
        <v>12</v>
      </c>
      <c r="H30" s="14" t="inlineStr">
        <is>
          <t>Aprobación Meta Business</t>
        </is>
      </c>
      <c r="I30" s="14" t="inlineStr">
        <is>
          <t>Externo + Claude</t>
        </is>
      </c>
      <c r="J30" s="14" t="inlineStr">
        <is>
          <t>Setup ~2 semanas por aprobación de Meta.</t>
        </is>
      </c>
    </row>
    <row r="31">
      <c r="A31" s="14" t="inlineStr">
        <is>
          <t>F03</t>
        </is>
      </c>
      <c r="B31" s="24" t="inlineStr">
        <is>
          <t>Features Core</t>
        </is>
      </c>
      <c r="C31" s="14" t="inlineStr">
        <is>
          <t>Plantillas WhatsApp pre-aprobadas</t>
        </is>
      </c>
      <c r="D31" s="14" t="inlineStr">
        <is>
          <t>Crear y aprobar plantillas en Meta Business Manager: confirmación cita, recordatorio 24h, recibo pago.</t>
        </is>
      </c>
      <c r="E31" s="18" t="inlineStr">
        <is>
          <t>P2 — Importante</t>
        </is>
      </c>
      <c r="F31" s="14" t="inlineStr">
        <is>
          <t>Pendiente</t>
        </is>
      </c>
      <c r="G31" s="14" t="n">
        <v>4</v>
      </c>
      <c r="H31" s="14" t="inlineStr">
        <is>
          <t>F02</t>
        </is>
      </c>
      <c r="I31" s="14" t="inlineStr">
        <is>
          <t>Jesús</t>
        </is>
      </c>
      <c r="J31" s="14" t="inlineStr">
        <is>
          <t>Sin plantillas aprobadas no se puede enviar fuera de ventana 24h.</t>
        </is>
      </c>
    </row>
    <row r="32">
      <c r="A32" s="14" t="inlineStr">
        <is>
          <t>F04</t>
        </is>
      </c>
      <c r="B32" s="24" t="inlineStr">
        <is>
          <t>Features Core</t>
        </is>
      </c>
      <c r="C32" s="14" t="inlineStr">
        <is>
          <t>Notificaciones push (PWA)</t>
        </is>
      </c>
      <c r="D32" s="14" t="inlineStr">
        <is>
          <t>Service worker + push API. Recordatorios cita 1h antes, mensajes nuevos.</t>
        </is>
      </c>
      <c r="E32" s="20" t="inlineStr">
        <is>
          <t>P3 — Deseable</t>
        </is>
      </c>
      <c r="F32" s="14" t="inlineStr">
        <is>
          <t>Pendiente</t>
        </is>
      </c>
      <c r="G32" s="14" t="n">
        <v>8</v>
      </c>
      <c r="H32" s="14" t="inlineStr">
        <is>
          <t>M01 PWA</t>
        </is>
      </c>
      <c r="I32" s="14" t="inlineStr">
        <is>
          <t>Claude</t>
        </is>
      </c>
      <c r="J32" s="14" t="inlineStr">
        <is>
          <t>Solo en navegadores que lo soporten (no Safari iOS pre-16).</t>
        </is>
      </c>
    </row>
    <row r="33">
      <c r="A33" s="14" t="inlineStr">
        <is>
          <t>F05</t>
        </is>
      </c>
      <c r="B33" s="24" t="inlineStr">
        <is>
          <t>Features Core</t>
        </is>
      </c>
      <c r="C33" s="14" t="inlineStr">
        <is>
          <t>Modo offline básico (PWA)</t>
        </is>
      </c>
      <c r="D33" s="14" t="inlineStr">
        <is>
          <t>Cachear última agenda + lista pacientes para consultar sin internet. Cambios pendientes se sincronizan al reconectar.</t>
        </is>
      </c>
      <c r="E33" s="20" t="inlineStr">
        <is>
          <t>P3 — Deseable</t>
        </is>
      </c>
      <c r="F33" s="14" t="inlineStr">
        <is>
          <t>Pendiente</t>
        </is>
      </c>
      <c r="G33" s="14" t="n">
        <v>12</v>
      </c>
      <c r="H33" s="14" t="inlineStr">
        <is>
          <t>M01</t>
        </is>
      </c>
      <c r="I33" s="14" t="inlineStr">
        <is>
          <t>Claude</t>
        </is>
      </c>
      <c r="J33" s="14" t="inlineStr">
        <is>
          <t>Útil en VE con conectividad inestable.</t>
        </is>
      </c>
    </row>
    <row r="34">
      <c r="A34" s="14" t="inlineStr">
        <is>
          <t>N01</t>
        </is>
      </c>
      <c r="B34" s="25" t="inlineStr">
        <is>
          <t>Notificaciones</t>
        </is>
      </c>
      <c r="C34" s="14" t="inlineStr">
        <is>
          <t>Setup Resend (email transaccional)</t>
        </is>
      </c>
      <c r="D34" s="14" t="inlineStr">
        <is>
          <t>Crear cuenta gratis Resend (3000 emails/mes), DNS records (SPF/DKIM/DMARC), API key en Vercel.</t>
        </is>
      </c>
      <c r="E34" s="16" t="inlineStr">
        <is>
          <t>P0 — Bloqueante</t>
        </is>
      </c>
      <c r="F34" s="14" t="inlineStr">
        <is>
          <t>Pendiente</t>
        </is>
      </c>
      <c r="G34" s="14" t="n">
        <v>2</v>
      </c>
      <c r="H34" s="14" t="inlineStr">
        <is>
          <t>I01</t>
        </is>
      </c>
      <c r="I34" s="14" t="inlineStr">
        <is>
          <t>Jesús</t>
        </is>
      </c>
      <c r="J34" s="14" t="inlineStr">
        <is>
          <t>DNS records van en el dominio nuevo.</t>
        </is>
      </c>
    </row>
    <row r="35">
      <c r="A35" s="14" t="inlineStr">
        <is>
          <t>N02</t>
        </is>
      </c>
      <c r="B35" s="25" t="inlineStr">
        <is>
          <t>Notificaciones</t>
        </is>
      </c>
      <c r="C35" s="14" t="inlineStr">
        <is>
          <t>Email: bienvenida al registrarse</t>
        </is>
      </c>
      <c r="D35" s="14" t="inlineStr">
        <is>
          <t>Trigger al crear profile. Mensaje cálido + checklist primeros pasos + link a tour.</t>
        </is>
      </c>
      <c r="E35" s="17" t="inlineStr">
        <is>
          <t>P1 — Crítico</t>
        </is>
      </c>
      <c r="F35" s="14" t="inlineStr">
        <is>
          <t>Pendiente</t>
        </is>
      </c>
      <c r="G35" s="14" t="n">
        <v>2</v>
      </c>
      <c r="H35" s="14" t="inlineStr">
        <is>
          <t>N01</t>
        </is>
      </c>
      <c r="I35" s="14" t="inlineStr">
        <is>
          <t>Claude</t>
        </is>
      </c>
      <c r="J35" s="14" t="inlineStr">
        <is>
          <t>Template HTML + trigger en /register.</t>
        </is>
      </c>
    </row>
    <row r="36">
      <c r="A36" s="14" t="inlineStr">
        <is>
          <t>N03</t>
        </is>
      </c>
      <c r="B36" s="25" t="inlineStr">
        <is>
          <t>Notificaciones</t>
        </is>
      </c>
      <c r="C36" s="14" t="inlineStr">
        <is>
          <t>Email: comprobante de pago aprobado</t>
        </is>
      </c>
      <c r="D36" s="14" t="inlineStr">
        <is>
          <t>Cuando admin aprueba subscription_payment, enviar email "Tu pago fue aprobado, suscripción extendida hasta DD/MM/YYYY".</t>
        </is>
      </c>
      <c r="E36" s="17" t="inlineStr">
        <is>
          <t>P1 — Crítico</t>
        </is>
      </c>
      <c r="F36" s="14" t="inlineStr">
        <is>
          <t>Pendiente</t>
        </is>
      </c>
      <c r="G36" s="14" t="n">
        <v>1</v>
      </c>
      <c r="H36" s="14" t="inlineStr">
        <is>
          <t>N01</t>
        </is>
      </c>
      <c r="I36" s="14" t="inlineStr">
        <is>
          <t>Claude</t>
        </is>
      </c>
      <c r="J36" s="14" t="inlineStr">
        <is>
          <t>1 template + hook en /api/admin/payments/approve.</t>
        </is>
      </c>
    </row>
    <row r="37">
      <c r="A37" s="14" t="inlineStr">
        <is>
          <t>N04</t>
        </is>
      </c>
      <c r="B37" s="25" t="inlineStr">
        <is>
          <t>Notificaciones</t>
        </is>
      </c>
      <c r="C37" s="14" t="inlineStr">
        <is>
          <t>Email: comprobante rechazado</t>
        </is>
      </c>
      <c r="D37" s="14" t="inlineStr">
        <is>
          <t>Cuando admin rechaza, email con motivo y link para subir uno nuevo.</t>
        </is>
      </c>
      <c r="E37" s="17" t="inlineStr">
        <is>
          <t>P1 — Crítico</t>
        </is>
      </c>
      <c r="F37" s="14" t="inlineStr">
        <is>
          <t>Pendiente</t>
        </is>
      </c>
      <c r="G37" s="14" t="n">
        <v>1</v>
      </c>
      <c r="H37" s="14" t="inlineStr">
        <is>
          <t>N01</t>
        </is>
      </c>
      <c r="I37" s="14" t="inlineStr">
        <is>
          <t>Claude</t>
        </is>
      </c>
      <c r="J37" s="14" t="inlineStr">
        <is>
          <t>Hook en /api/admin/payments/reject.</t>
        </is>
      </c>
    </row>
    <row r="38">
      <c r="A38" s="14" t="inlineStr">
        <is>
          <t>N05</t>
        </is>
      </c>
      <c r="B38" s="25" t="inlineStr">
        <is>
          <t>Notificaciones</t>
        </is>
      </c>
      <c r="C38" s="14" t="inlineStr">
        <is>
          <t>Email: suscripción vence en 7/3/1 días</t>
        </is>
      </c>
      <c r="D38" s="14" t="inlineStr">
        <is>
          <t>Edge Function diaria que revisa subscription_expires_at y envía email + crea banner in-app.</t>
        </is>
      </c>
      <c r="E38" s="16" t="inlineStr">
        <is>
          <t>P0 — Bloqueante</t>
        </is>
      </c>
      <c r="F38" s="14" t="inlineStr">
        <is>
          <t>Pendiente</t>
        </is>
      </c>
      <c r="G38" s="14" t="n">
        <v>4</v>
      </c>
      <c r="H38" s="14" t="inlineStr">
        <is>
          <t>N01</t>
        </is>
      </c>
      <c r="I38" s="14" t="inlineStr">
        <is>
          <t>Claude</t>
        </is>
      </c>
      <c r="J38" s="14" t="inlineStr">
        <is>
          <t>Sin esto los doctores se enteran cuando ya quedaron bloqueados.</t>
        </is>
      </c>
    </row>
    <row r="39">
      <c r="A39" s="14" t="inlineStr">
        <is>
          <t>N06</t>
        </is>
      </c>
      <c r="B39" s="25" t="inlineStr">
        <is>
          <t>Notificaciones</t>
        </is>
      </c>
      <c r="C39" s="14" t="inlineStr">
        <is>
          <t>Email: receta médica al paciente</t>
        </is>
      </c>
      <c r="D39" s="14" t="inlineStr">
        <is>
          <t>Cuando doctor genera receta, opción "enviar al email del paciente" con PDF adjunto.</t>
        </is>
      </c>
      <c r="E39" s="18" t="inlineStr">
        <is>
          <t>P2 — Importante</t>
        </is>
      </c>
      <c r="F39" s="14" t="inlineStr">
        <is>
          <t>Pendiente</t>
        </is>
      </c>
      <c r="G39" s="14" t="n">
        <v>3</v>
      </c>
      <c r="H39" s="14" t="inlineStr">
        <is>
          <t>N01</t>
        </is>
      </c>
      <c r="I39" s="14" t="inlineStr">
        <is>
          <t>Claude</t>
        </is>
      </c>
      <c r="J39" s="14" t="inlineStr">
        <is>
          <t>Extiende /api/doctor/share-pdf con email_to.</t>
        </is>
      </c>
    </row>
    <row r="40">
      <c r="A40" s="14" t="inlineStr">
        <is>
          <t>N07</t>
        </is>
      </c>
      <c r="B40" s="25" t="inlineStr">
        <is>
          <t>Notificaciones</t>
        </is>
      </c>
      <c r="C40" s="14" t="inlineStr">
        <is>
          <t>Email: informe médico al paciente</t>
        </is>
      </c>
      <c r="D40" s="14" t="inlineStr">
        <is>
          <t>Idem receta pero con informe completo. Botón en consulta.</t>
        </is>
      </c>
      <c r="E40" s="18" t="inlineStr">
        <is>
          <t>P2 — Importante</t>
        </is>
      </c>
      <c r="F40" s="14" t="inlineStr">
        <is>
          <t>Pendiente</t>
        </is>
      </c>
      <c r="G40" s="14" t="n">
        <v>2</v>
      </c>
      <c r="H40" s="14" t="inlineStr">
        <is>
          <t>N06</t>
        </is>
      </c>
      <c r="I40" s="14" t="inlineStr">
        <is>
          <t>Claude</t>
        </is>
      </c>
      <c r="J40" s="14" t="inlineStr">
        <is>
          <t>Reusa N06.</t>
        </is>
      </c>
    </row>
    <row r="41">
      <c r="A41" s="14" t="inlineStr">
        <is>
          <t>N08</t>
        </is>
      </c>
      <c r="B41" s="25" t="inlineStr">
        <is>
          <t>Notificaciones</t>
        </is>
      </c>
      <c r="C41" s="14" t="inlineStr">
        <is>
          <t>Recordatorio cita 24h (email + WhatsApp)</t>
        </is>
      </c>
      <c r="D41" s="14" t="inlineStr">
        <is>
          <t>Edge Function que corre cada hora, envía a citas en 24h ± 1h.</t>
        </is>
      </c>
      <c r="E41" s="17" t="inlineStr">
        <is>
          <t>P1 — Crítico</t>
        </is>
      </c>
      <c r="F41" s="14" t="inlineStr">
        <is>
          <t>Pendiente</t>
        </is>
      </c>
      <c r="G41" s="14" t="n">
        <v>4</v>
      </c>
      <c r="H41" s="14" t="inlineStr">
        <is>
          <t>N01 + F02</t>
        </is>
      </c>
      <c r="I41" s="14" t="inlineStr">
        <is>
          <t>Claude</t>
        </is>
      </c>
      <c r="J41" s="14" t="inlineStr">
        <is>
          <t>Reduce no-shows ~30%.</t>
        </is>
      </c>
    </row>
    <row r="42">
      <c r="A42" s="14" t="inlineStr">
        <is>
          <t>N09</t>
        </is>
      </c>
      <c r="B42" s="25" t="inlineStr">
        <is>
          <t>Notificaciones</t>
        </is>
      </c>
      <c r="C42" s="14" t="inlineStr">
        <is>
          <t>Recordatorio cita 2h</t>
        </is>
      </c>
      <c r="D42" s="14" t="inlineStr">
        <is>
          <t>Idem N08 pero a 2h.</t>
        </is>
      </c>
      <c r="E42" s="18" t="inlineStr">
        <is>
          <t>P2 — Importante</t>
        </is>
      </c>
      <c r="F42" s="14" t="inlineStr">
        <is>
          <t>Pendiente</t>
        </is>
      </c>
      <c r="G42" s="14" t="n">
        <v>1</v>
      </c>
      <c r="H42" s="14" t="inlineStr">
        <is>
          <t>N08</t>
        </is>
      </c>
      <c r="I42" s="14" t="inlineStr">
        <is>
          <t>Claude</t>
        </is>
      </c>
      <c r="J42" s="14" t="inlineStr">
        <is>
          <t>Reusa pattern de N08.</t>
        </is>
      </c>
    </row>
    <row r="43">
      <c r="A43" s="14" t="inlineStr">
        <is>
          <t>N10</t>
        </is>
      </c>
      <c r="B43" s="25" t="inlineStr">
        <is>
          <t>Notificaciones</t>
        </is>
      </c>
      <c r="C43" s="14" t="inlineStr">
        <is>
          <t>Auto-suspend al vencer suscripción</t>
        </is>
      </c>
      <c r="D43" s="14" t="inlineStr">
        <is>
          <t>Edge Function diaria: si subscription_expires_at &lt; now AND status = active → status = suspended + email + bloqueo.</t>
        </is>
      </c>
      <c r="E43" s="16" t="inlineStr">
        <is>
          <t>P0 — Bloqueante</t>
        </is>
      </c>
      <c r="F43" s="14" t="inlineStr">
        <is>
          <t>Pendiente</t>
        </is>
      </c>
      <c r="G43" s="14" t="n">
        <v>3</v>
      </c>
      <c r="H43" s="14" t="inlineStr">
        <is>
          <t>N05</t>
        </is>
      </c>
      <c r="I43" s="14" t="inlineStr">
        <is>
          <t>Claude</t>
        </is>
      </c>
      <c r="J43" s="14" t="inlineStr">
        <is>
          <t>Lógica de cobro real.</t>
        </is>
      </c>
    </row>
    <row r="44">
      <c r="A44" s="14" t="inlineStr">
        <is>
          <t>M01</t>
        </is>
      </c>
      <c r="B44" s="26" t="inlineStr">
        <is>
          <t>Marketing &amp; SEO</t>
        </is>
      </c>
      <c r="C44" s="14" t="inlineStr">
        <is>
          <t>Meta tags + OG images dinámicas</t>
        </is>
      </c>
      <c r="D44" s="14" t="inlineStr">
        <is>
          <t>Open Graph tags por página. Imagen hero específica para compartir en WhatsApp/Twitter.</t>
        </is>
      </c>
      <c r="E44" s="17" t="inlineStr">
        <is>
          <t>P1 — Crítico</t>
        </is>
      </c>
      <c r="F44" s="14" t="inlineStr">
        <is>
          <t>Pendiente</t>
        </is>
      </c>
      <c r="G44" s="14" t="n">
        <v>3</v>
      </c>
      <c r="H44" s="14" t="inlineStr">
        <is>
          <t>I01</t>
        </is>
      </c>
      <c r="I44" s="14" t="inlineStr">
        <is>
          <t>Claude</t>
        </is>
      </c>
      <c r="J44" s="14" t="inlineStr">
        <is>
          <t>next/og para imágenes dinámicas.</t>
        </is>
      </c>
    </row>
    <row r="45">
      <c r="A45" s="14" t="inlineStr">
        <is>
          <t>M02</t>
        </is>
      </c>
      <c r="B45" s="26" t="inlineStr">
        <is>
          <t>Marketing &amp; SEO</t>
        </is>
      </c>
      <c r="C45" s="14" t="inlineStr">
        <is>
          <t>Sitemap.xml + robots.txt</t>
        </is>
      </c>
      <c r="D45" s="14" t="inlineStr">
        <is>
          <t>Generación automática para indexación Google. Excluir /admin, /doctor, /patient.</t>
        </is>
      </c>
      <c r="E45" s="17" t="inlineStr">
        <is>
          <t>P1 — Crítico</t>
        </is>
      </c>
      <c r="F45" s="14" t="inlineStr">
        <is>
          <t>Pendiente</t>
        </is>
      </c>
      <c r="G45" s="14" t="n">
        <v>1</v>
      </c>
      <c r="H45" s="14" t="inlineStr">
        <is>
          <t>—</t>
        </is>
      </c>
      <c r="I45" s="14" t="inlineStr">
        <is>
          <t>Claude</t>
        </is>
      </c>
      <c r="J45" s="14" t="inlineStr">
        <is>
          <t>next-sitemap library.</t>
        </is>
      </c>
    </row>
    <row r="46">
      <c r="A46" s="14" t="inlineStr">
        <is>
          <t>M03</t>
        </is>
      </c>
      <c r="B46" s="26" t="inlineStr">
        <is>
          <t>Marketing &amp; SEO</t>
        </is>
      </c>
      <c r="C46" s="14" t="inlineStr">
        <is>
          <t>Schema.org (MedicalOrganization, LocalBusiness)</t>
        </is>
      </c>
      <c r="D46" s="14" t="inlineStr">
        <is>
          <t>Markup JSON-LD para que Google muestre rich snippets: rating, dirección, horarios, especialidad.</t>
        </is>
      </c>
      <c r="E46" s="18" t="inlineStr">
        <is>
          <t>P2 — Importante</t>
        </is>
      </c>
      <c r="F46" s="14" t="inlineStr">
        <is>
          <t>Pendiente</t>
        </is>
      </c>
      <c r="G46" s="14" t="n">
        <v>2</v>
      </c>
      <c r="H46" s="14" t="inlineStr">
        <is>
          <t>—</t>
        </is>
      </c>
      <c r="I46" s="14" t="inlineStr">
        <is>
          <t>Claude</t>
        </is>
      </c>
      <c r="J46" s="14" t="inlineStr">
        <is>
          <t>Para cada página de doctor (/doc/slug).</t>
        </is>
      </c>
    </row>
    <row r="47">
      <c r="A47" s="14" t="inlineStr">
        <is>
          <t>M04</t>
        </is>
      </c>
      <c r="B47" s="26" t="inlineStr">
        <is>
          <t>Marketing &amp; SEO</t>
        </is>
      </c>
      <c r="C47" s="14" t="inlineStr">
        <is>
          <t>Google Analytics 4 / Plausible</t>
        </is>
      </c>
      <c r="D47" s="14" t="inlineStr">
        <is>
          <t>Tracking de eventos clave: registro, login, agendar cita, subir comprobante. Plausible es privacy-friendly.</t>
        </is>
      </c>
      <c r="E47" s="17" t="inlineStr">
        <is>
          <t>P1 — Crítico</t>
        </is>
      </c>
      <c r="F47" s="14" t="inlineStr">
        <is>
          <t>Pendiente</t>
        </is>
      </c>
      <c r="G47" s="14" t="n">
        <v>2</v>
      </c>
      <c r="H47" s="14" t="inlineStr">
        <is>
          <t>I01</t>
        </is>
      </c>
      <c r="I47" s="14" t="inlineStr">
        <is>
          <t>Claude</t>
        </is>
      </c>
      <c r="J47" s="14" t="inlineStr">
        <is>
          <t>Plausible $9/mo, GA4 gratis con cookies.</t>
        </is>
      </c>
    </row>
    <row r="48">
      <c r="A48" s="14" t="inlineStr">
        <is>
          <t>M05</t>
        </is>
      </c>
      <c r="B48" s="26" t="inlineStr">
        <is>
          <t>Marketing &amp; SEO</t>
        </is>
      </c>
      <c r="C48" s="14" t="inlineStr">
        <is>
          <t>Google Search Console + Bing Webmaster</t>
        </is>
      </c>
      <c r="D48" s="14" t="inlineStr">
        <is>
          <t>Verificar dominio + submit sitemap. Aparece en búsquedas Google.</t>
        </is>
      </c>
      <c r="E48" s="17" t="inlineStr">
        <is>
          <t>P1 — Crítico</t>
        </is>
      </c>
      <c r="F48" s="14" t="inlineStr">
        <is>
          <t>Pendiente</t>
        </is>
      </c>
      <c r="G48" s="14" t="n">
        <v>1</v>
      </c>
      <c r="H48" s="14" t="inlineStr">
        <is>
          <t>M02 + I01</t>
        </is>
      </c>
      <c r="I48" s="14" t="inlineStr">
        <is>
          <t>Jesús</t>
        </is>
      </c>
      <c r="J48" s="14" t="inlineStr">
        <is>
          <t>15 min en cada plataforma.</t>
        </is>
      </c>
    </row>
    <row r="49">
      <c r="A49" s="14" t="inlineStr">
        <is>
          <t>M06</t>
        </is>
      </c>
      <c r="B49" s="26" t="inlineStr">
        <is>
          <t>Marketing &amp; SEO</t>
        </is>
      </c>
      <c r="C49" s="14" t="inlineStr">
        <is>
          <t>Facebook Pixel + Google Ads conversion</t>
        </is>
      </c>
      <c r="D49" s="14" t="inlineStr">
        <is>
          <t>Tags para tracking de conversiones cuando empieces ads pagados.</t>
        </is>
      </c>
      <c r="E49" s="20" t="inlineStr">
        <is>
          <t>P3 — Deseable</t>
        </is>
      </c>
      <c r="F49" s="14" t="inlineStr">
        <is>
          <t>Pendiente</t>
        </is>
      </c>
      <c r="G49" s="14" t="n">
        <v>2</v>
      </c>
      <c r="H49" s="14" t="inlineStr">
        <is>
          <t>I01</t>
        </is>
      </c>
      <c r="I49" s="14" t="inlineStr">
        <is>
          <t>Claude</t>
        </is>
      </c>
      <c r="J49" s="14" t="inlineStr">
        <is>
          <t>Solo si vas a hacer ads.</t>
        </is>
      </c>
    </row>
    <row r="50">
      <c r="A50" s="14" t="inlineStr">
        <is>
          <t>M07</t>
        </is>
      </c>
      <c r="B50" s="26" t="inlineStr">
        <is>
          <t>Marketing &amp; SEO</t>
        </is>
      </c>
      <c r="C50" s="14" t="inlineStr">
        <is>
          <t>Blog (5 artículos seed)</t>
        </is>
      </c>
      <c r="D50" s="14" t="inlineStr">
        <is>
          <t>Posts SEO sobre "Cómo organizar tu consultorio", "Telemedicina en Venezuela", etc. Atrae tráfico orgánico.</t>
        </is>
      </c>
      <c r="E50" s="20" t="inlineStr">
        <is>
          <t>P3 — Deseable</t>
        </is>
      </c>
      <c r="F50" s="14" t="inlineStr">
        <is>
          <t>Pendiente</t>
        </is>
      </c>
      <c r="G50" s="14" t="n">
        <v>16</v>
      </c>
      <c r="H50" s="14" t="inlineStr">
        <is>
          <t>I01</t>
        </is>
      </c>
      <c r="I50" s="14" t="inlineStr">
        <is>
          <t>Jesús + redactor</t>
        </is>
      </c>
      <c r="J50" s="14" t="inlineStr">
        <is>
          <t>Largo plazo. SEO toma 3-6 meses en mostrar resultados.</t>
        </is>
      </c>
    </row>
    <row r="51">
      <c r="A51" s="14" t="inlineStr">
        <is>
          <t>V01</t>
        </is>
      </c>
      <c r="B51" s="27" t="inlineStr">
        <is>
          <t>Ventas &amp; Growth</t>
        </is>
      </c>
      <c r="C51" s="14" t="inlineStr">
        <is>
          <t>Botón "Hablar con ventas" en landing</t>
        </is>
      </c>
      <c r="D51" s="14" t="inlineStr">
        <is>
          <t>Implementado. Hoy abre WhatsApp con número configurable por admin.</t>
        </is>
      </c>
      <c r="E51" s="16" t="inlineStr">
        <is>
          <t>P0 — Bloqueante</t>
        </is>
      </c>
      <c r="F51" s="20" t="inlineStr">
        <is>
          <t>Completado</t>
        </is>
      </c>
      <c r="G51" s="14" t="n">
        <v>0</v>
      </c>
      <c r="H51" s="14" t="inlineStr">
        <is>
          <t>—</t>
        </is>
      </c>
      <c r="I51" s="14" t="inlineStr">
        <is>
          <t>Claude</t>
        </is>
      </c>
      <c r="J51" s="14" t="inlineStr">
        <is>
          <t>✅ Hecho.</t>
        </is>
      </c>
    </row>
    <row r="52">
      <c r="A52" s="14" t="inlineStr">
        <is>
          <t>V02</t>
        </is>
      </c>
      <c r="B52" s="27" t="inlineStr">
        <is>
          <t>Ventas &amp; Growth</t>
        </is>
      </c>
      <c r="C52" s="14" t="inlineStr">
        <is>
          <t>Pipeline de leads en BD</t>
        </is>
      </c>
      <c r="D52" s="14" t="inlineStr">
        <is>
          <t>Tabla `leads` ya existe. UI para que admin vea quién no terminó registro, quién pidió demo, etc.</t>
        </is>
      </c>
      <c r="E52" s="18" t="inlineStr">
        <is>
          <t>P2 — Importante</t>
        </is>
      </c>
      <c r="F52" s="14" t="inlineStr">
        <is>
          <t>Pendiente</t>
        </is>
      </c>
      <c r="G52" s="14" t="n">
        <v>4</v>
      </c>
      <c r="H52" s="14" t="inlineStr">
        <is>
          <t>—</t>
        </is>
      </c>
      <c r="I52" s="14" t="inlineStr">
        <is>
          <t>Claude</t>
        </is>
      </c>
      <c r="J52" s="14" t="inlineStr">
        <is>
          <t>Hay tabla pero no hay UI usable.</t>
        </is>
      </c>
    </row>
    <row r="53">
      <c r="A53" s="14" t="inlineStr">
        <is>
          <t>V03</t>
        </is>
      </c>
      <c r="B53" s="27" t="inlineStr">
        <is>
          <t>Ventas &amp; Growth</t>
        </is>
      </c>
      <c r="C53" s="14" t="inlineStr">
        <is>
          <t>Auto-follow-up leads abandonados</t>
        </is>
      </c>
      <c r="D53" s="14" t="inlineStr">
        <is>
          <t>Si alguien se registra pero no completa onboarding en 24h, email de recuperación.</t>
        </is>
      </c>
      <c r="E53" s="18" t="inlineStr">
        <is>
          <t>P2 — Importante</t>
        </is>
      </c>
      <c r="F53" s="14" t="inlineStr">
        <is>
          <t>Pendiente</t>
        </is>
      </c>
      <c r="G53" s="14" t="n">
        <v>3</v>
      </c>
      <c r="H53" s="14" t="inlineStr">
        <is>
          <t>N01 + V02</t>
        </is>
      </c>
      <c r="I53" s="14" t="inlineStr">
        <is>
          <t>Claude</t>
        </is>
      </c>
      <c r="J53" s="14" t="inlineStr">
        <is>
          <t>Recovers 15-20% de drop-offs típicamente.</t>
        </is>
      </c>
    </row>
    <row r="54">
      <c r="A54" s="14" t="inlineStr">
        <is>
          <t>V04</t>
        </is>
      </c>
      <c r="B54" s="27" t="inlineStr">
        <is>
          <t>Ventas &amp; Growth</t>
        </is>
      </c>
      <c r="C54" s="14" t="inlineStr">
        <is>
          <t>Demo booking (Calendly o similar)</t>
        </is>
      </c>
      <c r="D54" s="14" t="inlineStr">
        <is>
          <t>Botón "Agendar demo" en landing → calendar widget. Embebido o link externo.</t>
        </is>
      </c>
      <c r="E54" s="20" t="inlineStr">
        <is>
          <t>P3 — Deseable</t>
        </is>
      </c>
      <c r="F54" s="14" t="inlineStr">
        <is>
          <t>Pendiente</t>
        </is>
      </c>
      <c r="G54" s="14" t="n">
        <v>2</v>
      </c>
      <c r="H54" s="14" t="inlineStr">
        <is>
          <t>—</t>
        </is>
      </c>
      <c r="I54" s="14" t="inlineStr">
        <is>
          <t>Jesús</t>
        </is>
      </c>
      <c r="J54" s="14" t="inlineStr">
        <is>
          <t>Calendly free tier alcanza.</t>
        </is>
      </c>
    </row>
    <row r="55">
      <c r="A55" s="14" t="inlineStr">
        <is>
          <t>V05</t>
        </is>
      </c>
      <c r="B55" s="27" t="inlineStr">
        <is>
          <t>Ventas &amp; Growth</t>
        </is>
      </c>
      <c r="C55" s="14" t="inlineStr">
        <is>
          <t>Programa de referidos doctor → doctor</t>
        </is>
      </c>
      <c r="D55" s="14" t="inlineStr">
        <is>
          <t>Si un doctor invita a otro y se registra: ambos reciben 1 mes gratis.</t>
        </is>
      </c>
      <c r="E55" s="20" t="inlineStr">
        <is>
          <t>P3 — Deseable</t>
        </is>
      </c>
      <c r="F55" s="14" t="inlineStr">
        <is>
          <t>Pendiente</t>
        </is>
      </c>
      <c r="G55" s="14" t="n">
        <v>8</v>
      </c>
      <c r="H55" s="14" t="inlineStr">
        <is>
          <t>F02</t>
        </is>
      </c>
      <c r="I55" s="14" t="inlineStr">
        <is>
          <t>Claude</t>
        </is>
      </c>
      <c r="J55" s="14" t="inlineStr">
        <is>
          <t>Driver de growth orgánico.</t>
        </is>
      </c>
    </row>
    <row r="56">
      <c r="A56" s="14" t="inlineStr">
        <is>
          <t>V06</t>
        </is>
      </c>
      <c r="B56" s="27" t="inlineStr">
        <is>
          <t>Ventas &amp; Growth</t>
        </is>
      </c>
      <c r="C56" s="14" t="inlineStr">
        <is>
          <t>Casos de éxito / testimonios reales</t>
        </is>
      </c>
      <c r="D56" s="14" t="inlineStr">
        <is>
          <t>Reemplazar testimonios fake del landing con doctores reales. Foto + nombre + cita.</t>
        </is>
      </c>
      <c r="E56" s="17" t="inlineStr">
        <is>
          <t>P1 — Crítico</t>
        </is>
      </c>
      <c r="F56" s="14" t="inlineStr">
        <is>
          <t>Pendiente</t>
        </is>
      </c>
      <c r="G56" s="14" t="n">
        <v>4</v>
      </c>
      <c r="H56" s="14" t="inlineStr">
        <is>
          <t>Mín 5 doctores activos</t>
        </is>
      </c>
      <c r="I56" s="14" t="inlineStr">
        <is>
          <t>Jesús</t>
        </is>
      </c>
      <c r="J56" s="14" t="inlineStr">
        <is>
          <t>Producción sin testimonios reales = baja conversión.</t>
        </is>
      </c>
    </row>
    <row r="57">
      <c r="A57" s="14" t="inlineStr">
        <is>
          <t>SO01</t>
        </is>
      </c>
      <c r="B57" s="28" t="inlineStr">
        <is>
          <t>Soporte</t>
        </is>
      </c>
      <c r="C57" s="14" t="inlineStr">
        <is>
          <t>Help center / Knowledge base</t>
        </is>
      </c>
      <c r="D57" s="14" t="inlineStr">
        <is>
          <t>Sección /help con artículos para preguntas frecuentes. Hoy hay /help básico.</t>
        </is>
      </c>
      <c r="E57" s="18" t="inlineStr">
        <is>
          <t>P2 — Importante</t>
        </is>
      </c>
      <c r="F57" s="23" t="inlineStr">
        <is>
          <t>En progreso</t>
        </is>
      </c>
      <c r="G57" s="14" t="n">
        <v>8</v>
      </c>
      <c r="H57" s="14" t="inlineStr">
        <is>
          <t>—</t>
        </is>
      </c>
      <c r="I57" s="14" t="inlineStr">
        <is>
          <t>Jesús + Claude</t>
        </is>
      </c>
      <c r="J57" s="14" t="inlineStr">
        <is>
          <t>Expandir contenido existente. ~20-30 artículos.</t>
        </is>
      </c>
    </row>
    <row r="58">
      <c r="A58" s="14" t="inlineStr">
        <is>
          <t>SO02</t>
        </is>
      </c>
      <c r="B58" s="28" t="inlineStr">
        <is>
          <t>Soporte</t>
        </is>
      </c>
      <c r="C58" s="14" t="inlineStr">
        <is>
          <t>Sistema de tickets (Crisp / Intercom / Tawk)</t>
        </is>
      </c>
      <c r="D58" s="14" t="inlineStr">
        <is>
          <t>Chat en vivo + tickets. Crisp tiene free tier. Tawk.to es 100% gratis.</t>
        </is>
      </c>
      <c r="E58" s="18" t="inlineStr">
        <is>
          <t>P2 — Importante</t>
        </is>
      </c>
      <c r="F58" s="14" t="inlineStr">
        <is>
          <t>Pendiente</t>
        </is>
      </c>
      <c r="G58" s="14" t="n">
        <v>2</v>
      </c>
      <c r="H58" s="14" t="inlineStr">
        <is>
          <t>—</t>
        </is>
      </c>
      <c r="I58" s="14" t="inlineStr">
        <is>
          <t>Jesús</t>
        </is>
      </c>
      <c r="J58" s="14" t="inlineStr">
        <is>
          <t>Tawk: solo agregar script al landing y app.</t>
        </is>
      </c>
    </row>
    <row r="59">
      <c r="A59" s="14" t="inlineStr">
        <is>
          <t>SO03</t>
        </is>
      </c>
      <c r="B59" s="28" t="inlineStr">
        <is>
          <t>Soporte</t>
        </is>
      </c>
      <c r="C59" s="14" t="inlineStr">
        <is>
          <t>Email soporte@dominio</t>
        </is>
      </c>
      <c r="D59" s="14" t="inlineStr">
        <is>
          <t>Buzón de soporte. Forwarding a Gmail con etiquetas.</t>
        </is>
      </c>
      <c r="E59" s="16" t="inlineStr">
        <is>
          <t>P0 — Bloqueante</t>
        </is>
      </c>
      <c r="F59" s="14" t="inlineStr">
        <is>
          <t>Pendiente</t>
        </is>
      </c>
      <c r="G59" s="14" t="n">
        <v>0.5</v>
      </c>
      <c r="H59" s="14" t="inlineStr">
        <is>
          <t>I01</t>
        </is>
      </c>
      <c r="I59" s="14" t="inlineStr">
        <is>
          <t>Jesús</t>
        </is>
      </c>
      <c r="J59" s="14" t="inlineStr">
        <is>
          <t>Trivial pero indispensable.</t>
        </is>
      </c>
    </row>
    <row r="60">
      <c r="A60" s="14" t="inlineStr">
        <is>
          <t>SO04</t>
        </is>
      </c>
      <c r="B60" s="28" t="inlineStr">
        <is>
          <t>Soporte</t>
        </is>
      </c>
      <c r="C60" s="14" t="inlineStr">
        <is>
          <t>Modo "impersonar doctor" para soporte</t>
        </is>
      </c>
      <c r="D60" s="14" t="inlineStr">
        <is>
          <t>Admin puede entrar como un doctor (sin saber su contraseña) para reproducir bugs. Endpoint protegido.</t>
        </is>
      </c>
      <c r="E60" s="20" t="inlineStr">
        <is>
          <t>P3 — Deseable</t>
        </is>
      </c>
      <c r="F60" s="14" t="inlineStr">
        <is>
          <t>Pendiente</t>
        </is>
      </c>
      <c r="G60" s="14" t="n">
        <v>4</v>
      </c>
      <c r="H60" s="14" t="inlineStr">
        <is>
          <t>S04 RLS audit</t>
        </is>
      </c>
      <c r="I60" s="14" t="inlineStr">
        <is>
          <t>Claude</t>
        </is>
      </c>
      <c r="J60" s="14" t="inlineStr">
        <is>
          <t>Útil para troubleshooting. Audit log obligatorio.</t>
        </is>
      </c>
    </row>
    <row r="61">
      <c r="A61" s="14" t="inlineStr">
        <is>
          <t>SO05</t>
        </is>
      </c>
      <c r="B61" s="28" t="inlineStr">
        <is>
          <t>Soporte</t>
        </is>
      </c>
      <c r="C61" s="14" t="inlineStr">
        <is>
          <t>Documentación de uso (videos cortos)</t>
        </is>
      </c>
      <c r="D61" s="14" t="inlineStr">
        <is>
          <t>5-10 videos de 2 minutos: cómo crear paciente, cómo agendar, cómo generar receta. Loom gratis.</t>
        </is>
      </c>
      <c r="E61" s="20" t="inlineStr">
        <is>
          <t>P3 — Deseable</t>
        </is>
      </c>
      <c r="F61" s="14" t="inlineStr">
        <is>
          <t>Pendiente</t>
        </is>
      </c>
      <c r="G61" s="14" t="n">
        <v>6</v>
      </c>
      <c r="H61" s="14" t="inlineStr">
        <is>
          <t>—</t>
        </is>
      </c>
      <c r="I61" s="14" t="inlineStr">
        <is>
          <t>Jesús</t>
        </is>
      </c>
      <c r="J61" s="14" t="inlineStr">
        <is>
          <t>Reduce tickets de soporte.</t>
        </is>
      </c>
    </row>
    <row r="62">
      <c r="A62" s="14" t="inlineStr">
        <is>
          <t>FI01</t>
        </is>
      </c>
      <c r="B62" s="29" t="inlineStr">
        <is>
          <t>Financiero</t>
        </is>
      </c>
      <c r="C62" s="14" t="inlineStr">
        <is>
          <t>Stripe integration</t>
        </is>
      </c>
      <c r="D62" s="14" t="inlineStr">
        <is>
          <t>Pagos automáticos con tarjeta para suscripción. Subscription mode + webhooks.</t>
        </is>
      </c>
      <c r="E62" s="18" t="inlineStr">
        <is>
          <t>P2 — Importante</t>
        </is>
      </c>
      <c r="F62" s="14" t="inlineStr">
        <is>
          <t>Pendiente</t>
        </is>
      </c>
      <c r="G62" s="14" t="n">
        <v>12</v>
      </c>
      <c r="H62" s="14" t="inlineStr">
        <is>
          <t>I01 + L02</t>
        </is>
      </c>
      <c r="I62" s="14" t="inlineStr">
        <is>
          <t>Claude</t>
        </is>
      </c>
      <c r="J62" s="14" t="inlineStr">
        <is>
          <t>Cuando sea momento de aceptar internacionales.</t>
        </is>
      </c>
    </row>
    <row r="63">
      <c r="A63" s="14" t="inlineStr">
        <is>
          <t>FI02</t>
        </is>
      </c>
      <c r="B63" s="29" t="inlineStr">
        <is>
          <t>Financiero</t>
        </is>
      </c>
      <c r="C63" s="14" t="inlineStr">
        <is>
          <t>Refund policy clara</t>
        </is>
      </c>
      <c r="D63" s="14" t="inlineStr">
        <is>
          <t>Políticas escritas: cuándo se devuelve, en qué plazo, cómo solicitarlo.</t>
        </is>
      </c>
      <c r="E63" s="17" t="inlineStr">
        <is>
          <t>P1 — Crítico</t>
        </is>
      </c>
      <c r="F63" s="14" t="inlineStr">
        <is>
          <t>Pendiente</t>
        </is>
      </c>
      <c r="G63" s="14" t="n">
        <v>1</v>
      </c>
      <c r="H63" s="14" t="inlineStr">
        <is>
          <t>L01</t>
        </is>
      </c>
      <c r="I63" s="14" t="inlineStr">
        <is>
          <t>Jesús</t>
        </is>
      </c>
      <c r="J63" s="14" t="inlineStr">
        <is>
          <t>Página /refunds + link en footer.</t>
        </is>
      </c>
    </row>
    <row r="64">
      <c r="A64" s="14" t="inlineStr">
        <is>
          <t>FI03</t>
        </is>
      </c>
      <c r="B64" s="29" t="inlineStr">
        <is>
          <t>Financiero</t>
        </is>
      </c>
      <c r="C64" s="14" t="inlineStr">
        <is>
          <t>Reconciliación bancaria</t>
        </is>
      </c>
      <c r="D64" s="14" t="inlineStr">
        <is>
          <t>Para pagos manuales (Pago Móvil, transferencia): admin marca como "verificado en banco" además de "aprobado".</t>
        </is>
      </c>
      <c r="E64" s="18" t="inlineStr">
        <is>
          <t>P2 — Importante</t>
        </is>
      </c>
      <c r="F64" s="14" t="inlineStr">
        <is>
          <t>Pendiente</t>
        </is>
      </c>
      <c r="G64" s="14" t="n">
        <v>4</v>
      </c>
      <c r="H64" s="14" t="inlineStr">
        <is>
          <t>—</t>
        </is>
      </c>
      <c r="I64" s="14" t="inlineStr">
        <is>
          <t>Claude</t>
        </is>
      </c>
      <c r="J64" s="14" t="inlineStr">
        <is>
          <t>Doble check anti-fraude.</t>
        </is>
      </c>
    </row>
    <row r="65">
      <c r="A65" s="14" t="inlineStr">
        <is>
          <t>FI04</t>
        </is>
      </c>
      <c r="B65" s="29" t="inlineStr">
        <is>
          <t>Financiero</t>
        </is>
      </c>
      <c r="C65" s="14" t="inlineStr">
        <is>
          <t>Reportes financieros mensuales</t>
        </is>
      </c>
      <c r="D65" s="14" t="inlineStr">
        <is>
          <t>Dashboard admin: MRR, churn, pagos pendientes, doctores nuevos. Export CSV/PDF.</t>
        </is>
      </c>
      <c r="E65" s="18" t="inlineStr">
        <is>
          <t>P2 — Importante</t>
        </is>
      </c>
      <c r="F65" s="14" t="inlineStr">
        <is>
          <t>Pendiente</t>
        </is>
      </c>
      <c r="G65" s="14" t="n">
        <v>6</v>
      </c>
      <c r="H65" s="14" t="inlineStr">
        <is>
          <t>—</t>
        </is>
      </c>
      <c r="I65" s="14" t="inlineStr">
        <is>
          <t>Claude</t>
        </is>
      </c>
      <c r="J65" s="14" t="inlineStr">
        <is>
          <t>Para tu propia gestión + inversores.</t>
        </is>
      </c>
    </row>
    <row r="66">
      <c r="A66" s="14" t="inlineStr">
        <is>
          <t>AD01</t>
        </is>
      </c>
      <c r="B66" s="30" t="inlineStr">
        <is>
          <t>Admin &amp; Operaciones</t>
        </is>
      </c>
      <c r="C66" s="14" t="inlineStr">
        <is>
          <t>Dashboard métricas SaaS (MRR, churn, LTV)</t>
        </is>
      </c>
      <c r="D66" s="14" t="inlineStr">
        <is>
          <t>En /admin: KPIs principales con gráficos.</t>
        </is>
      </c>
      <c r="E66" s="18" t="inlineStr">
        <is>
          <t>P2 — Importante</t>
        </is>
      </c>
      <c r="F66" s="14" t="inlineStr">
        <is>
          <t>Pendiente</t>
        </is>
      </c>
      <c r="G66" s="14" t="n">
        <v>8</v>
      </c>
      <c r="H66" s="14" t="inlineStr">
        <is>
          <t>—</t>
        </is>
      </c>
      <c r="I66" s="14" t="inlineStr">
        <is>
          <t>Claude</t>
        </is>
      </c>
      <c r="J66" s="14" t="inlineStr">
        <is>
          <t>Hoy hay /admin básico, expandir.</t>
        </is>
      </c>
    </row>
    <row r="67">
      <c r="A67" s="14" t="inlineStr">
        <is>
          <t>AD02</t>
        </is>
      </c>
      <c r="B67" s="30" t="inlineStr">
        <is>
          <t>Admin &amp; Operaciones</t>
        </is>
      </c>
      <c r="C67" s="14" t="inlineStr">
        <is>
          <t>Soft-delete con recuperación 30 días</t>
        </is>
      </c>
      <c r="D67" s="14" t="inlineStr">
        <is>
          <t>En lugar de DELETE hard, marcar deleted_at. Endpoint admin para restore en 30 días.</t>
        </is>
      </c>
      <c r="E67" s="18" t="inlineStr">
        <is>
          <t>P2 — Importante</t>
        </is>
      </c>
      <c r="F67" s="14" t="inlineStr">
        <is>
          <t>Pendiente</t>
        </is>
      </c>
      <c r="G67" s="14" t="n">
        <v>6</v>
      </c>
      <c r="H67" s="14" t="inlineStr">
        <is>
          <t>—</t>
        </is>
      </c>
      <c r="I67" s="14" t="inlineStr">
        <is>
          <t>Claude</t>
        </is>
      </c>
      <c r="J67" s="14" t="inlineStr">
        <is>
          <t>Anti-error humano. Los doctores agradecen.</t>
        </is>
      </c>
    </row>
    <row r="68">
      <c r="A68" s="14" t="inlineStr">
        <is>
          <t>AD03</t>
        </is>
      </c>
      <c r="B68" s="30" t="inlineStr">
        <is>
          <t>Admin &amp; Operaciones</t>
        </is>
      </c>
      <c r="C68" s="14" t="inlineStr">
        <is>
          <t>Logs de auditoría globales</t>
        </is>
      </c>
      <c r="D68" s="14" t="inlineStr">
        <is>
          <t>Tabla audit_log con cada acción crítica (delete patient, change role, etc.).</t>
        </is>
      </c>
      <c r="E68" s="17" t="inlineStr">
        <is>
          <t>P1 — Crítico</t>
        </is>
      </c>
      <c r="F68" s="14" t="inlineStr">
        <is>
          <t>Pendiente</t>
        </is>
      </c>
      <c r="G68" s="14" t="n">
        <v>6</v>
      </c>
      <c r="H68" s="14" t="inlineStr">
        <is>
          <t>—</t>
        </is>
      </c>
      <c r="I68" s="14" t="inlineStr">
        <is>
          <t>Claude</t>
        </is>
      </c>
      <c r="J68" s="14" t="inlineStr">
        <is>
          <t>Existe para subscriptions, falta para resto.</t>
        </is>
      </c>
    </row>
    <row r="69">
      <c r="A69" s="14" t="inlineStr">
        <is>
          <t>AD04</t>
        </is>
      </c>
      <c r="B69" s="30" t="inlineStr">
        <is>
          <t>Admin &amp; Operaciones</t>
        </is>
      </c>
      <c r="C69" s="14" t="inlineStr">
        <is>
          <t>Bulk actions admin (import doctores)</t>
        </is>
      </c>
      <c r="D69" s="14" t="inlineStr">
        <is>
          <t>Admin puede importar lista CSV de doctores e invitarlos masivamente.</t>
        </is>
      </c>
      <c r="E69" s="20" t="inlineStr">
        <is>
          <t>P3 — Deseable</t>
        </is>
      </c>
      <c r="F69" s="14" t="inlineStr">
        <is>
          <t>Pendiente</t>
        </is>
      </c>
      <c r="G69" s="14" t="n">
        <v>6</v>
      </c>
      <c r="H69" s="14" t="inlineStr">
        <is>
          <t>—</t>
        </is>
      </c>
      <c r="I69" s="14" t="inlineStr">
        <is>
          <t>Claude</t>
        </is>
      </c>
      <c r="J69" s="14" t="inlineStr">
        <is>
          <t>Para escalar a centros médicos.</t>
        </is>
      </c>
    </row>
    <row r="70">
      <c r="A70" s="14" t="inlineStr">
        <is>
          <t>MO01</t>
        </is>
      </c>
      <c r="B70" s="31" t="inlineStr">
        <is>
          <t>Móvil &amp; PWA</t>
        </is>
      </c>
      <c r="C70" s="14" t="inlineStr">
        <is>
          <t>PWA installable</t>
        </is>
      </c>
      <c r="D70" s="14" t="inlineStr">
        <is>
          <t>manifest.json + service worker básico. Doctor puede "instalar" app desde Safari/Chrome móvil.</t>
        </is>
      </c>
      <c r="E70" s="17" t="inlineStr">
        <is>
          <t>P1 — Crítico</t>
        </is>
      </c>
      <c r="F70" s="14" t="inlineStr">
        <is>
          <t>Pendiente</t>
        </is>
      </c>
      <c r="G70" s="14" t="n">
        <v>4</v>
      </c>
      <c r="H70" s="14" t="inlineStr">
        <is>
          <t>I01</t>
        </is>
      </c>
      <c r="I70" s="14" t="inlineStr">
        <is>
          <t>Claude</t>
        </is>
      </c>
      <c r="J70" s="14" t="inlineStr">
        <is>
          <t>Sin esto, doctor que abre desde móvil ve banner "agregar a inicio" pero no es app real.</t>
        </is>
      </c>
    </row>
    <row r="71">
      <c r="A71" s="14" t="inlineStr">
        <is>
          <t>MO02</t>
        </is>
      </c>
      <c r="B71" s="31" t="inlineStr">
        <is>
          <t>Móvil &amp; PWA</t>
        </is>
      </c>
      <c r="C71" s="14" t="inlineStr">
        <is>
          <t>Responsive completo validado</t>
        </is>
      </c>
      <c r="D71" s="14" t="inlineStr">
        <is>
          <t>En progreso. /admin/subscriptions y SubscriptionPanel listos. Falta validar agenda, consultas, settings, EHR en mobile real.</t>
        </is>
      </c>
      <c r="E71" s="16" t="inlineStr">
        <is>
          <t>P0 — Bloqueante</t>
        </is>
      </c>
      <c r="F71" s="23" t="inlineStr">
        <is>
          <t>En progreso</t>
        </is>
      </c>
      <c r="G71" s="14" t="n">
        <v>6</v>
      </c>
      <c r="H71" s="14" t="inlineStr">
        <is>
          <t>—</t>
        </is>
      </c>
      <c r="I71" s="14" t="inlineStr">
        <is>
          <t>Claude</t>
        </is>
      </c>
      <c r="J71" s="14" t="inlineStr">
        <is>
          <t>En curso. Hoy admin/subscriptions hecho.</t>
        </is>
      </c>
    </row>
    <row r="72">
      <c r="A72" s="14" t="inlineStr">
        <is>
          <t>MO03</t>
        </is>
      </c>
      <c r="B72" s="31" t="inlineStr">
        <is>
          <t>Móvil &amp; PWA</t>
        </is>
      </c>
      <c r="C72" s="14" t="inlineStr">
        <is>
          <t>App nativa (iOS + Android)</t>
        </is>
      </c>
      <c r="D72" s="14" t="inlineStr">
        <is>
          <t>Largo plazo. React Native o Flutter wrapper sobre la PWA. App stores requieren proceso.</t>
        </is>
      </c>
      <c r="E72" s="20" t="inlineStr">
        <is>
          <t>P3 — Deseable</t>
        </is>
      </c>
      <c r="F72" s="14" t="inlineStr">
        <is>
          <t>Pendiente</t>
        </is>
      </c>
      <c r="G72" s="14" t="n">
        <v>80</v>
      </c>
      <c r="H72" s="14" t="inlineStr">
        <is>
          <t>MO01 + base sólida</t>
        </is>
      </c>
      <c r="I72" s="14" t="inlineStr">
        <is>
          <t>Equipo dev externo</t>
        </is>
      </c>
      <c r="J72" s="14" t="inlineStr">
        <is>
          <t>Solo cuando producto esté maduro.</t>
        </is>
      </c>
    </row>
    <row r="73">
      <c r="A73" s="14" t="inlineStr">
        <is>
          <t>Q01</t>
        </is>
      </c>
      <c r="B73" s="24" t="inlineStr">
        <is>
          <t>Calidad &amp; Testing</t>
        </is>
      </c>
      <c r="C73" s="14" t="inlineStr">
        <is>
          <t>Tests unitarios funciones críticas</t>
        </is>
      </c>
      <c r="D73" s="14" t="inlineStr">
        <is>
          <t>lib/subscription.ts (extendSubscription, computeDurationOptions), lib/auth-guards.ts.</t>
        </is>
      </c>
      <c r="E73" s="18" t="inlineStr">
        <is>
          <t>P2 — Importante</t>
        </is>
      </c>
      <c r="F73" s="14" t="inlineStr">
        <is>
          <t>Pendiente</t>
        </is>
      </c>
      <c r="G73" s="14" t="n">
        <v>6</v>
      </c>
      <c r="H73" s="14" t="inlineStr">
        <is>
          <t>—</t>
        </is>
      </c>
      <c r="I73" s="14" t="inlineStr">
        <is>
          <t>Claude</t>
        </is>
      </c>
      <c r="J73" s="14" t="inlineStr">
        <is>
          <t>Vitest + 30-50 tests core.</t>
        </is>
      </c>
    </row>
    <row r="74">
      <c r="A74" s="14" t="inlineStr">
        <is>
          <t>Q02</t>
        </is>
      </c>
      <c r="B74" s="24" t="inlineStr">
        <is>
          <t>Calidad &amp; Testing</t>
        </is>
      </c>
      <c r="C74" s="14" t="inlineStr">
        <is>
          <t>E2E tests happy path</t>
        </is>
      </c>
      <c r="D74" s="14" t="inlineStr">
        <is>
          <t>Playwright: registro doctor → agendar cita → consulta → cobro. Corre en CI.</t>
        </is>
      </c>
      <c r="E74" s="18" t="inlineStr">
        <is>
          <t>P2 — Importante</t>
        </is>
      </c>
      <c r="F74" s="14" t="inlineStr">
        <is>
          <t>Pendiente</t>
        </is>
      </c>
      <c r="G74" s="14" t="n">
        <v>12</v>
      </c>
      <c r="H74" s="14" t="inlineStr">
        <is>
          <t>I06 CI</t>
        </is>
      </c>
      <c r="I74" s="14" t="inlineStr">
        <is>
          <t>Claude</t>
        </is>
      </c>
      <c r="J74" s="14" t="inlineStr">
        <is>
          <t>5-7 tests cubre 80% de uso.</t>
        </is>
      </c>
    </row>
    <row r="75">
      <c r="A75" s="14" t="inlineStr">
        <is>
          <t>Q03</t>
        </is>
      </c>
      <c r="B75" s="24" t="inlineStr">
        <is>
          <t>Calidad &amp; Testing</t>
        </is>
      </c>
      <c r="C75" s="14" t="inlineStr">
        <is>
          <t>Lighthouse score &gt; 90</t>
        </is>
      </c>
      <c r="D75" s="14" t="inlineStr">
        <is>
          <t>Validar performance, accesibilidad, SEO, best practices en cada página clave.</t>
        </is>
      </c>
      <c r="E75" s="18" t="inlineStr">
        <is>
          <t>P2 — Importante</t>
        </is>
      </c>
      <c r="F75" s="14" t="inlineStr">
        <is>
          <t>Pendiente</t>
        </is>
      </c>
      <c r="G75" s="14" t="n">
        <v>4</v>
      </c>
      <c r="H75" s="14" t="inlineStr">
        <is>
          <t>—</t>
        </is>
      </c>
      <c r="I75" s="14" t="inlineStr">
        <is>
          <t>Claude</t>
        </is>
      </c>
      <c r="J75" s="14" t="inlineStr">
        <is>
          <t>Optimizar imágenes, lazy load, etc.</t>
        </is>
      </c>
    </row>
    <row r="76">
      <c r="A76" s="14" t="inlineStr">
        <is>
          <t>Q04</t>
        </is>
      </c>
      <c r="B76" s="24" t="inlineStr">
        <is>
          <t>Calidad &amp; Testing</t>
        </is>
      </c>
      <c r="C76" s="14" t="inlineStr">
        <is>
          <t>Accesibilidad WCAG AA</t>
        </is>
      </c>
      <c r="D76" s="14" t="inlineStr">
        <is>
          <t>Audit con axe-core. Contraste, alt text, focus management, keyboard nav.</t>
        </is>
      </c>
      <c r="E76" s="18" t="inlineStr">
        <is>
          <t>P2 — Importante</t>
        </is>
      </c>
      <c r="F76" s="14" t="inlineStr">
        <is>
          <t>Pendiente</t>
        </is>
      </c>
      <c r="G76" s="14" t="n">
        <v>6</v>
      </c>
      <c r="H76" s="14" t="inlineStr">
        <is>
          <t>—</t>
        </is>
      </c>
      <c r="I76" s="14" t="inlineStr">
        <is>
          <t>Claude</t>
        </is>
      </c>
      <c r="J76" s="14" t="inlineStr">
        <is>
          <t>Inclusivo + buena para SEO.</t>
        </is>
      </c>
    </row>
    <row r="77">
      <c r="A77" s="14" t="inlineStr">
        <is>
          <t>B01</t>
        </is>
      </c>
      <c r="B77" s="15" t="inlineStr">
        <is>
          <t>Branding &amp; Contenido</t>
        </is>
      </c>
      <c r="C77" s="14" t="inlineStr">
        <is>
          <t>Branding consistente "Delta Medical CRM"</t>
        </is>
      </c>
      <c r="D77" s="14" t="inlineStr">
        <is>
          <t>Auditar y reemplazar todas las menciones inconsistentes (Delta vs Delta Medical CRM vs Health Tech vs MedSaas).</t>
        </is>
      </c>
      <c r="E77" s="16" t="inlineStr">
        <is>
          <t>P0 — Bloqueante</t>
        </is>
      </c>
      <c r="F77" s="14" t="inlineStr">
        <is>
          <t>Pendiente</t>
        </is>
      </c>
      <c r="G77" s="14" t="n">
        <v>2</v>
      </c>
      <c r="H77" s="14" t="inlineStr">
        <is>
          <t>—</t>
        </is>
      </c>
      <c r="I77" s="14" t="inlineStr">
        <is>
          <t>Claude</t>
        </is>
      </c>
      <c r="J77" s="14" t="inlineStr">
        <is>
          <t>Quick win. 1 commit.</t>
        </is>
      </c>
    </row>
    <row r="78">
      <c r="A78" s="14" t="inlineStr">
        <is>
          <t>B02</t>
        </is>
      </c>
      <c r="B78" s="15" t="inlineStr">
        <is>
          <t>Branding &amp; Contenido</t>
        </is>
      </c>
      <c r="C78" s="14" t="inlineStr">
        <is>
          <t>Logo profesional</t>
        </is>
      </c>
      <c r="D78" s="14" t="inlineStr">
        <is>
          <t>Hoy hay isotipo SVG inline. Crear logo profesional + variantes (full color, monocromo, blanco).</t>
        </is>
      </c>
      <c r="E78" s="18" t="inlineStr">
        <is>
          <t>P2 — Importante</t>
        </is>
      </c>
      <c r="F78" s="14" t="inlineStr">
        <is>
          <t>Pendiente</t>
        </is>
      </c>
      <c r="G78" s="14" t="n">
        <v>0</v>
      </c>
      <c r="H78" s="14" t="inlineStr">
        <is>
          <t>—</t>
        </is>
      </c>
      <c r="I78" s="14" t="inlineStr">
        <is>
          <t>Diseñador externo</t>
        </is>
      </c>
      <c r="J78" s="14" t="inlineStr">
        <is>
          <t>Brief al diseñador. ~$100-300.</t>
        </is>
      </c>
    </row>
    <row r="79">
      <c r="A79" s="14" t="inlineStr">
        <is>
          <t>B03</t>
        </is>
      </c>
      <c r="B79" s="15" t="inlineStr">
        <is>
          <t>Branding &amp; Contenido</t>
        </is>
      </c>
      <c r="C79" s="14" t="inlineStr">
        <is>
          <t>Brand guide (colores, tipografía, tono)</t>
        </is>
      </c>
      <c r="D79" s="14" t="inlineStr">
        <is>
          <t>Documento que guía toda la app y comunicación. Hoy implícito en código.</t>
        </is>
      </c>
      <c r="E79" s="20" t="inlineStr">
        <is>
          <t>P3 — Deseable</t>
        </is>
      </c>
      <c r="F79" s="14" t="inlineStr">
        <is>
          <t>Pendiente</t>
        </is>
      </c>
      <c r="G79" s="14" t="n">
        <v>0</v>
      </c>
      <c r="H79" s="14" t="inlineStr">
        <is>
          <t>B02</t>
        </is>
      </c>
      <c r="I79" s="14" t="inlineStr">
        <is>
          <t>Diseñador externo</t>
        </is>
      </c>
      <c r="J79" s="14" t="inlineStr">
        <is>
          <t>Asegura consistencia futura.</t>
        </is>
      </c>
    </row>
    <row r="80">
      <c r="A80" s="14" t="inlineStr">
        <is>
          <t>B04</t>
        </is>
      </c>
      <c r="B80" s="15" t="inlineStr">
        <is>
          <t>Branding &amp; Contenido</t>
        </is>
      </c>
      <c r="C80" s="14" t="inlineStr">
        <is>
          <t>Páginas legales en footer</t>
        </is>
      </c>
      <c r="D80" s="14" t="inlineStr">
        <is>
          <t>Links visibles a /terms, /privacy, /refunds, /contact desde TODAS las páginas.</t>
        </is>
      </c>
      <c r="E80" s="16" t="inlineStr">
        <is>
          <t>P0 — Bloqueante</t>
        </is>
      </c>
      <c r="F80" s="14" t="inlineStr">
        <is>
          <t>Pendiente</t>
        </is>
      </c>
      <c r="G80" s="14" t="n">
        <v>1</v>
      </c>
      <c r="H80" s="14" t="inlineStr">
        <is>
          <t>L01 + L02</t>
        </is>
      </c>
      <c r="I80" s="14" t="inlineStr">
        <is>
          <t>Claude</t>
        </is>
      </c>
      <c r="J80" s="14" t="inlineStr">
        <is>
          <t>Requisito legal y de Google verification.</t>
        </is>
      </c>
    </row>
    <row r="82">
      <c r="A82" s="32" t="inlineStr">
        <is>
          <t>TOTAL</t>
        </is>
      </c>
      <c r="C82" s="32" t="inlineStr">
        <is>
          <t>79 tareas</t>
        </is>
      </c>
      <c r="G82" s="33">
        <f>SUM(G2:G80)</f>
        <v/>
      </c>
    </row>
  </sheetData>
  <autoFilter ref="A1:J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12" customWidth="1" min="4" max="4"/>
    <col width="16" customWidth="1" min="5" max="5"/>
    <col width="40" customWidth="1" min="6" max="6"/>
  </cols>
  <sheetData>
    <row r="1" ht="32" customHeight="1">
      <c r="A1" s="13" t="inlineStr">
        <is>
          <t>Día</t>
        </is>
      </c>
      <c r="B1" s="13" t="inlineStr">
        <is>
          <t>Tarea</t>
        </is>
      </c>
      <c r="C1" s="13" t="inlineStr">
        <is>
          <t>IDs</t>
        </is>
      </c>
      <c r="D1" s="13" t="inlineStr">
        <is>
          <t>Effort (h)</t>
        </is>
      </c>
      <c r="E1" s="13" t="inlineStr">
        <is>
          <t>Owner</t>
        </is>
      </c>
      <c r="F1" s="13" t="inlineStr">
        <is>
          <t>Notas</t>
        </is>
      </c>
    </row>
    <row r="2">
      <c r="A2" s="14" t="inlineStr">
        <is>
          <t>Día 1 (lun)</t>
        </is>
      </c>
      <c r="B2" s="14" t="inlineStr">
        <is>
          <t>Comprar dominio + conectar Vercel</t>
        </is>
      </c>
      <c r="C2" s="14" t="inlineStr">
        <is>
          <t>I01, I02</t>
        </is>
      </c>
      <c r="D2" s="14" t="n">
        <v>2</v>
      </c>
      <c r="E2" s="14" t="inlineStr">
        <is>
          <t>Jesús</t>
        </is>
      </c>
      <c r="F2" s="14" t="inlineStr">
        <is>
          <t>Bloquea verification Google.</t>
        </is>
      </c>
    </row>
    <row r="3">
      <c r="A3" s="14" t="inlineStr">
        <is>
          <t>Día 1 (lun)</t>
        </is>
      </c>
      <c r="B3" s="14" t="inlineStr">
        <is>
          <t>Reset contraseña /forgot-password</t>
        </is>
      </c>
      <c r="C3" s="14" t="inlineStr">
        <is>
          <t>A02</t>
        </is>
      </c>
      <c r="D3" s="14" t="n">
        <v>2</v>
      </c>
      <c r="E3" s="14" t="inlineStr">
        <is>
          <t>Claude</t>
        </is>
      </c>
      <c r="F3" s="14" t="inlineStr">
        <is>
          <t>Mientras Jesús compra dominio.</t>
        </is>
      </c>
    </row>
    <row r="4">
      <c r="A4" s="14" t="inlineStr">
        <is>
          <t>Día 1 (lun)</t>
        </is>
      </c>
      <c r="B4" s="14" t="inlineStr">
        <is>
          <t>Branding consistente</t>
        </is>
      </c>
      <c r="C4" s="14" t="inlineStr">
        <is>
          <t>B01</t>
        </is>
      </c>
      <c r="D4" s="14" t="n">
        <v>2</v>
      </c>
      <c r="E4" s="14" t="inlineStr">
        <is>
          <t>Claude</t>
        </is>
      </c>
      <c r="F4" s="14" t="inlineStr">
        <is>
          <t>Search &amp; replace.</t>
        </is>
      </c>
    </row>
    <row r="5">
      <c r="A5" s="14" t="inlineStr">
        <is>
          <t>Día 2 (mar)</t>
        </is>
      </c>
      <c r="B5" s="14" t="inlineStr">
        <is>
          <t>Setup Resend + DNS records</t>
        </is>
      </c>
      <c r="C5" s="14" t="inlineStr">
        <is>
          <t>N01</t>
        </is>
      </c>
      <c r="D5" s="14" t="n">
        <v>2</v>
      </c>
      <c r="E5" s="14" t="inlineStr">
        <is>
          <t>Jesús</t>
        </is>
      </c>
      <c r="F5" s="14" t="inlineStr">
        <is>
          <t>Necesita dominio listo.</t>
        </is>
      </c>
    </row>
    <row r="6">
      <c r="A6" s="14" t="inlineStr">
        <is>
          <t>Día 2 (mar)</t>
        </is>
      </c>
      <c r="B6" s="14" t="inlineStr">
        <is>
          <t>Email bienvenida + comprobante aprobado/rechazado</t>
        </is>
      </c>
      <c r="C6" s="14" t="inlineStr">
        <is>
          <t>N02, N03, N04</t>
        </is>
      </c>
      <c r="D6" s="14" t="n">
        <v>4</v>
      </c>
      <c r="E6" s="14" t="inlineStr">
        <is>
          <t>Claude</t>
        </is>
      </c>
      <c r="F6" s="14" t="inlineStr">
        <is>
          <t>Templates HTML.</t>
        </is>
      </c>
    </row>
    <row r="7">
      <c r="A7" s="14" t="inlineStr">
        <is>
          <t>Día 2 (mar)</t>
        </is>
      </c>
      <c r="B7" s="14" t="inlineStr">
        <is>
          <t>Email vencimiento suscripción 7/3/1d + auto-suspend</t>
        </is>
      </c>
      <c r="C7" s="14" t="inlineStr">
        <is>
          <t>N05, N10</t>
        </is>
      </c>
      <c r="D7" s="14" t="n">
        <v>7</v>
      </c>
      <c r="E7" s="14" t="inlineStr">
        <is>
          <t>Claude</t>
        </is>
      </c>
      <c r="F7" s="14" t="inlineStr">
        <is>
          <t>Edge Function diaria.</t>
        </is>
      </c>
    </row>
    <row r="8">
      <c r="A8" s="14" t="inlineStr">
        <is>
          <t>Día 3 (mié)</t>
        </is>
      </c>
      <c r="B8" s="14" t="inlineStr">
        <is>
          <t>Términos + Privacidad reales</t>
        </is>
      </c>
      <c r="C8" s="14" t="inlineStr">
        <is>
          <t>L01, L02</t>
        </is>
      </c>
      <c r="D8" s="14" t="n">
        <v>0</v>
      </c>
      <c r="E8" s="14" t="inlineStr">
        <is>
          <t>Abogado</t>
        </is>
      </c>
      <c r="F8" s="14" t="inlineStr">
        <is>
          <t>Externalizado.</t>
        </is>
      </c>
    </row>
    <row r="9">
      <c r="A9" s="14" t="inlineStr">
        <is>
          <t>Día 3 (mié)</t>
        </is>
      </c>
      <c r="B9" s="14" t="inlineStr">
        <is>
          <t>Cookies banner</t>
        </is>
      </c>
      <c r="C9" s="14" t="inlineStr">
        <is>
          <t>L03</t>
        </is>
      </c>
      <c r="D9" s="14" t="n">
        <v>3</v>
      </c>
      <c r="E9" s="14" t="inlineStr">
        <is>
          <t>Claude</t>
        </is>
      </c>
      <c r="F9" s="14" t="inlineStr">
        <is>
          <t>—</t>
        </is>
      </c>
    </row>
    <row r="10">
      <c r="A10" s="14" t="inlineStr">
        <is>
          <t>Día 3 (mié)</t>
        </is>
      </c>
      <c r="B10" s="14" t="inlineStr">
        <is>
          <t>Páginas legales en footer</t>
        </is>
      </c>
      <c r="C10" s="14" t="inlineStr">
        <is>
          <t>B04</t>
        </is>
      </c>
      <c r="D10" s="14" t="n">
        <v>1</v>
      </c>
      <c r="E10" s="14" t="inlineStr">
        <is>
          <t>Claude</t>
        </is>
      </c>
      <c r="F10" s="14" t="inlineStr">
        <is>
          <t>—</t>
        </is>
      </c>
    </row>
    <row r="11">
      <c r="A11" s="14" t="inlineStr">
        <is>
          <t>Día 4 (jue)</t>
        </is>
      </c>
      <c r="B11" s="14" t="inlineStr">
        <is>
          <t>Rate limiting + headers seguridad</t>
        </is>
      </c>
      <c r="C11" s="14" t="inlineStr">
        <is>
          <t>S01, S03</t>
        </is>
      </c>
      <c r="D11" s="14" t="n">
        <v>8</v>
      </c>
      <c r="E11" s="14" t="inlineStr">
        <is>
          <t>Claude</t>
        </is>
      </c>
      <c r="F11" s="14" t="inlineStr">
        <is>
          <t>Vercel Edge Middleware + next.config.</t>
        </is>
      </c>
    </row>
    <row r="12">
      <c r="A12" s="14" t="inlineStr">
        <is>
          <t>Día 4 (jue)</t>
        </is>
      </c>
      <c r="B12" s="14" t="inlineStr">
        <is>
          <t>CAPTCHA en signup/login</t>
        </is>
      </c>
      <c r="C12" s="14" t="inlineStr">
        <is>
          <t>S02</t>
        </is>
      </c>
      <c r="D12" s="14" t="n">
        <v>3</v>
      </c>
      <c r="E12" s="14" t="inlineStr">
        <is>
          <t>Claude</t>
        </is>
      </c>
      <c r="F12" s="14" t="inlineStr">
        <is>
          <t>Cloudflare Turnstile.</t>
        </is>
      </c>
    </row>
    <row r="13">
      <c r="A13" s="14" t="inlineStr">
        <is>
          <t>Día 5 (vie)</t>
        </is>
      </c>
      <c r="B13" s="14" t="inlineStr">
        <is>
          <t>RLS audit todas las tablas</t>
        </is>
      </c>
      <c r="C13" s="14" t="inlineStr">
        <is>
          <t>S04</t>
        </is>
      </c>
      <c r="D13" s="14" t="n">
        <v>8</v>
      </c>
      <c r="E13" s="14" t="inlineStr">
        <is>
          <t>Claude</t>
        </is>
      </c>
      <c r="F13" s="14" t="inlineStr">
        <is>
          <t>Crítico anti-leak.</t>
        </is>
      </c>
    </row>
    <row r="14">
      <c r="A14" s="14" t="inlineStr">
        <is>
          <t>Día 6 (sáb)</t>
        </is>
      </c>
      <c r="B14" s="14" t="inlineStr">
        <is>
          <t>Google OAuth verification submit</t>
        </is>
      </c>
      <c r="C14" s="14" t="inlineStr">
        <is>
          <t>A01</t>
        </is>
      </c>
      <c r="D14" s="14" t="n">
        <v>2</v>
      </c>
      <c r="E14" s="14" t="inlineStr">
        <is>
          <t>Jesús</t>
        </is>
      </c>
      <c r="F14" s="14" t="inlineStr">
        <is>
          <t>Con dominio + nombre + privacy fix.</t>
        </is>
      </c>
    </row>
    <row r="15">
      <c r="A15" s="14" t="inlineStr">
        <is>
          <t>Día 6 (sáb)</t>
        </is>
      </c>
      <c r="B15" s="14" t="inlineStr">
        <is>
          <t>Email verification real (no auto-confirm)</t>
        </is>
      </c>
      <c r="C15" s="14" t="inlineStr">
        <is>
          <t>A03</t>
        </is>
      </c>
      <c r="D15" s="14" t="n">
        <v>1</v>
      </c>
      <c r="E15" s="14" t="inlineStr">
        <is>
          <t>Claude</t>
        </is>
      </c>
      <c r="F15" s="14" t="inlineStr">
        <is>
          <t>—</t>
        </is>
      </c>
    </row>
    <row r="16">
      <c r="A16" s="14" t="inlineStr">
        <is>
          <t>Día 7 (dom)</t>
        </is>
      </c>
      <c r="B16" s="14" t="inlineStr">
        <is>
          <t>PWA installable + manifest</t>
        </is>
      </c>
      <c r="C16" s="14" t="inlineStr">
        <is>
          <t>MO01</t>
        </is>
      </c>
      <c r="D16" s="14" t="n">
        <v>4</v>
      </c>
      <c r="E16" s="14" t="inlineStr">
        <is>
          <t>Claude</t>
        </is>
      </c>
      <c r="F16" s="14" t="inlineStr">
        <is>
          <t>—</t>
        </is>
      </c>
    </row>
    <row r="17">
      <c r="A17" s="14" t="inlineStr">
        <is>
          <t>Día 7 (dom)</t>
        </is>
      </c>
      <c r="B17" s="14" t="inlineStr">
        <is>
          <t>Sitemap + Search Console + Analytics</t>
        </is>
      </c>
      <c r="C17" s="14" t="inlineStr">
        <is>
          <t>M02, M04, M05</t>
        </is>
      </c>
      <c r="D17" s="14" t="n">
        <v>4</v>
      </c>
      <c r="E17" s="14" t="inlineStr">
        <is>
          <t>Claude + Jesús</t>
        </is>
      </c>
      <c r="F17" s="14" t="inlineStr">
        <is>
          <t>—</t>
        </is>
      </c>
    </row>
    <row r="19">
      <c r="B19" s="32" t="inlineStr">
        <is>
          <t>TOTAL HORAS SPRINT 1</t>
        </is>
      </c>
      <c r="D19" s="33">
        <f>SUM(D2:D17)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14" customWidth="1" min="4" max="4"/>
    <col width="50" customWidth="1" min="5" max="5"/>
    <col width="40" customWidth="1" min="6" max="6"/>
  </cols>
  <sheetData>
    <row r="1" ht="32" customHeight="1">
      <c r="A1" s="13" t="inlineStr">
        <is>
          <t>#</t>
        </is>
      </c>
      <c r="B1" s="13" t="inlineStr">
        <is>
          <t>Item</t>
        </is>
      </c>
      <c r="C1" s="13" t="inlineStr">
        <is>
          <t>Aplica a</t>
        </is>
      </c>
      <c r="D1" s="13" t="inlineStr">
        <is>
          <t>Estado</t>
        </is>
      </c>
      <c r="E1" s="13" t="inlineStr">
        <is>
          <t>Acción requerida</t>
        </is>
      </c>
      <c r="F1" s="13" t="inlineStr">
        <is>
          <t>Riesgo si falta</t>
        </is>
      </c>
    </row>
    <row r="2">
      <c r="A2" s="14" t="inlineStr">
        <is>
          <t>C01</t>
        </is>
      </c>
      <c r="B2" s="14" t="inlineStr">
        <is>
          <t>Términos de servicio publicados</t>
        </is>
      </c>
      <c r="C2" s="14" t="inlineStr">
        <is>
          <t>Toda la app</t>
        </is>
      </c>
      <c r="D2" s="16" t="inlineStr">
        <is>
          <t>Pendiente</t>
        </is>
      </c>
      <c r="E2" s="14" t="inlineStr">
        <is>
          <t>Redactar con abogado, publicar en /terms, link en footer</t>
        </is>
      </c>
      <c r="F2" s="14" t="inlineStr">
        <is>
          <t>Demandas, multas, pérdida de credibilidad</t>
        </is>
      </c>
    </row>
    <row r="3">
      <c r="A3" s="14" t="inlineStr">
        <is>
          <t>C02</t>
        </is>
      </c>
      <c r="B3" s="14" t="inlineStr">
        <is>
          <t>Política de privacidad LOPDPDP Venezuela</t>
        </is>
      </c>
      <c r="C3" s="14" t="inlineStr">
        <is>
          <t>Datos personales</t>
        </is>
      </c>
      <c r="D3" s="16" t="inlineStr">
        <is>
          <t>Pendiente</t>
        </is>
      </c>
      <c r="E3" s="14" t="inlineStr">
        <is>
          <t>Redactar con abogado, publicar /privacy, banner consent</t>
        </is>
      </c>
      <c r="F3" s="14" t="inlineStr">
        <is>
          <t>Sanciones SUNDDE/INDECU + bloqueo Google OAuth</t>
        </is>
      </c>
    </row>
    <row r="4">
      <c r="A4" s="14" t="inlineStr">
        <is>
          <t>C03</t>
        </is>
      </c>
      <c r="B4" s="14" t="inlineStr">
        <is>
          <t>Cookies banner visible</t>
        </is>
      </c>
      <c r="C4" s="14" t="inlineStr">
        <is>
          <t>Visitantes web</t>
        </is>
      </c>
      <c r="D4" s="16" t="inlineStr">
        <is>
          <t>Pendiente</t>
        </is>
      </c>
      <c r="E4" s="14" t="inlineStr">
        <is>
          <t>Implementar banner con opciones aceptar/rechazar/personalizar</t>
        </is>
      </c>
      <c r="F4" s="14" t="inlineStr">
        <is>
          <t>Multa LOPDPDP</t>
        </is>
      </c>
    </row>
    <row r="5">
      <c r="A5" s="14" t="inlineStr">
        <is>
          <t>C04</t>
        </is>
      </c>
      <c r="B5" s="14" t="inlineStr">
        <is>
          <t>Consentimiento explícito al registrarse</t>
        </is>
      </c>
      <c r="C5" s="14" t="inlineStr">
        <is>
          <t>Doctores y pacientes</t>
        </is>
      </c>
      <c r="D5" s="34" t="inlineStr">
        <is>
          <t>Parcial</t>
        </is>
      </c>
      <c r="E5" s="14" t="inlineStr">
        <is>
          <t>Checkbox "Acepto términos" obligatorio. Hoy implícito.</t>
        </is>
      </c>
      <c r="F5" s="14" t="inlineStr">
        <is>
          <t>Términos no exigibles</t>
        </is>
      </c>
    </row>
    <row r="6">
      <c r="A6" s="14" t="inlineStr">
        <is>
          <t>C05</t>
        </is>
      </c>
      <c r="B6" s="14" t="inlineStr">
        <is>
          <t>DPA firmado con Supabase</t>
        </is>
      </c>
      <c r="C6" s="14" t="inlineStr">
        <is>
          <t>Datos médicos</t>
        </is>
      </c>
      <c r="D6" s="16" t="inlineStr">
        <is>
          <t>Pendiente</t>
        </is>
      </c>
      <c r="E6" s="14" t="inlineStr">
        <is>
          <t>Solicitar DPA estándar vía soporte Supabase</t>
        </is>
      </c>
      <c r="F6" s="14" t="inlineStr">
        <is>
          <t>Datos médicos en US sin cobertura legal</t>
        </is>
      </c>
    </row>
    <row r="7">
      <c r="A7" s="14" t="inlineStr">
        <is>
          <t>C06</t>
        </is>
      </c>
      <c r="B7" s="14" t="inlineStr">
        <is>
          <t>DPA con Vercel</t>
        </is>
      </c>
      <c r="C7" s="14" t="inlineStr">
        <is>
          <t>Hosting</t>
        </is>
      </c>
      <c r="D7" s="16" t="inlineStr">
        <is>
          <t>Pendiente</t>
        </is>
      </c>
      <c r="E7" s="14" t="inlineStr">
        <is>
          <t>Plan Pro Vercel incluye DPA. Confirmar firma.</t>
        </is>
      </c>
      <c r="F7" s="14" t="inlineStr">
        <is>
          <t>Idem C05</t>
        </is>
      </c>
    </row>
    <row r="8">
      <c r="A8" s="14" t="inlineStr">
        <is>
          <t>C07</t>
        </is>
      </c>
      <c r="B8" s="14" t="inlineStr">
        <is>
          <t>DPA con Google (Gemini IA)</t>
        </is>
      </c>
      <c r="C8" s="14" t="inlineStr">
        <is>
          <t>Datos en prompts IA</t>
        </is>
      </c>
      <c r="D8" s="16" t="inlineStr">
        <is>
          <t>Pendiente</t>
        </is>
      </c>
      <c r="E8" s="14" t="inlineStr">
        <is>
          <t>Cambiar a Gemini Workspace o no enviar PHI a la IA</t>
        </is>
      </c>
      <c r="F8" s="14" t="inlineStr">
        <is>
          <t>Datos médicos a Google sin contrato</t>
        </is>
      </c>
    </row>
    <row r="9">
      <c r="A9" s="14" t="inlineStr">
        <is>
          <t>C08</t>
        </is>
      </c>
      <c r="B9" s="14" t="inlineStr">
        <is>
          <t>Encriptación at-rest</t>
        </is>
      </c>
      <c r="C9" s="14" t="inlineStr">
        <is>
          <t>BD Supabase</t>
        </is>
      </c>
      <c r="D9" s="20" t="inlineStr">
        <is>
          <t>OK</t>
        </is>
      </c>
      <c r="E9" s="14" t="inlineStr">
        <is>
          <t>Supabase encripta por default. Confirmar en plan Pro.</t>
        </is>
      </c>
      <c r="F9" s="14" t="inlineStr">
        <is>
          <t>Brecha de datos = exposición</t>
        </is>
      </c>
    </row>
    <row r="10">
      <c r="A10" s="14" t="inlineStr">
        <is>
          <t>C09</t>
        </is>
      </c>
      <c r="B10" s="14" t="inlineStr">
        <is>
          <t>Encriptación in-transit</t>
        </is>
      </c>
      <c r="C10" s="14" t="inlineStr">
        <is>
          <t>Toda comunicación</t>
        </is>
      </c>
      <c r="D10" s="20" t="inlineStr">
        <is>
          <t>OK</t>
        </is>
      </c>
      <c r="E10" s="14" t="inlineStr">
        <is>
          <t>TLS via Vercel + Supabase. Validar HSTS.</t>
        </is>
      </c>
      <c r="F10" s="14" t="inlineStr">
        <is>
          <t>MITM, interceptación</t>
        </is>
      </c>
    </row>
    <row r="11">
      <c r="A11" s="14" t="inlineStr">
        <is>
          <t>C10</t>
        </is>
      </c>
      <c r="B11" s="14" t="inlineStr">
        <is>
          <t>Backups validados con test restore</t>
        </is>
      </c>
      <c r="C11" s="14" t="inlineStr">
        <is>
          <t>BD</t>
        </is>
      </c>
      <c r="D11" s="16" t="inlineStr">
        <is>
          <t>Pendiente</t>
        </is>
      </c>
      <c r="E11" s="14" t="inlineStr">
        <is>
          <t>Restaurar backup en proyecto staging mensual</t>
        </is>
      </c>
      <c r="F11" s="14" t="inlineStr">
        <is>
          <t>Pérdida de datos sin recuperación</t>
        </is>
      </c>
    </row>
    <row r="12">
      <c r="A12" s="14" t="inlineStr">
        <is>
          <t>C11</t>
        </is>
      </c>
      <c r="B12" s="14" t="inlineStr">
        <is>
          <t>Audit log de cambios sensibles</t>
        </is>
      </c>
      <c r="C12" s="14" t="inlineStr">
        <is>
          <t>Cambios admin</t>
        </is>
      </c>
      <c r="D12" s="34" t="inlineStr">
        <is>
          <t>Parcial</t>
        </is>
      </c>
      <c r="E12" s="14" t="inlineStr">
        <is>
          <t>Hay para subscriptions. Falta para profiles, patients, consultations.</t>
        </is>
      </c>
      <c r="F12" s="14" t="inlineStr">
        <is>
          <t>Sin trazabilidad post-incidente</t>
        </is>
      </c>
    </row>
    <row r="13">
      <c r="A13" s="14" t="inlineStr">
        <is>
          <t>C12</t>
        </is>
      </c>
      <c r="B13" s="14" t="inlineStr">
        <is>
          <t>Right to be Forgotten endpoint</t>
        </is>
      </c>
      <c r="C13" s="14" t="inlineStr">
        <is>
          <t>Datos personales</t>
        </is>
      </c>
      <c r="D13" s="16" t="inlineStr">
        <is>
          <t>Pendiente</t>
        </is>
      </c>
      <c r="E13" s="14" t="inlineStr">
        <is>
          <t>API + UI para que usuario pida eliminación total</t>
        </is>
      </c>
      <c r="F13" s="14" t="inlineStr">
        <is>
          <t>Multa LOPDPDP por incumplir art. titularidad</t>
        </is>
      </c>
    </row>
    <row r="14">
      <c r="A14" s="14" t="inlineStr">
        <is>
          <t>C13</t>
        </is>
      </c>
      <c r="B14" s="14" t="inlineStr">
        <is>
          <t>Data export portable (JSON/CSV)</t>
        </is>
      </c>
      <c r="C14" s="14" t="inlineStr">
        <is>
          <t>Doctor + Paciente</t>
        </is>
      </c>
      <c r="D14" s="16" t="inlineStr">
        <is>
          <t>Pendiente</t>
        </is>
      </c>
      <c r="E14" s="14" t="inlineStr">
        <is>
          <t>Endpoint que devuelve toda la info del usuario en formato abierto</t>
        </is>
      </c>
      <c r="F14" s="14" t="inlineStr">
        <is>
          <t>Idem C12</t>
        </is>
      </c>
    </row>
    <row r="15">
      <c r="A15" s="14" t="inlineStr">
        <is>
          <t>C14</t>
        </is>
      </c>
      <c r="B15" s="14" t="inlineStr">
        <is>
          <t>Avisar brechas en 72h</t>
        </is>
      </c>
      <c r="C15" s="14" t="inlineStr">
        <is>
          <t>Operación</t>
        </is>
      </c>
      <c r="D15" s="16" t="inlineStr">
        <is>
          <t>Pendiente</t>
        </is>
      </c>
      <c r="E15" s="14" t="inlineStr">
        <is>
          <t>Runbook de respuesta a incidentes con plantilla email</t>
        </is>
      </c>
      <c r="F15" s="14" t="inlineStr">
        <is>
          <t>Multa LOPDPDP por silencio</t>
        </is>
      </c>
    </row>
    <row r="16">
      <c r="A16" s="14" t="inlineStr">
        <is>
          <t>C15</t>
        </is>
      </c>
      <c r="B16" s="14" t="inlineStr">
        <is>
          <t>Recetas digitales con firma electrónica</t>
        </is>
      </c>
      <c r="C16" s="14" t="inlineStr">
        <is>
          <t>Recetas</t>
        </is>
      </c>
      <c r="D16" s="16" t="inlineStr">
        <is>
          <t>Pendiente</t>
        </is>
      </c>
      <c r="E16" s="14" t="inlineStr">
        <is>
          <t>Investigar requisitos Colegio Médicos VE. Posible solución QR.</t>
        </is>
      </c>
      <c r="F16" s="14" t="inlineStr">
        <is>
          <t>Recetas no aceptadas en farmacias</t>
        </is>
      </c>
    </row>
    <row r="17">
      <c r="A17" s="14" t="inlineStr">
        <is>
          <t>C16</t>
        </is>
      </c>
      <c r="B17" s="14" t="inlineStr">
        <is>
          <t>Facturación SENIAT</t>
        </is>
      </c>
      <c r="C17" s="14" t="inlineStr">
        <is>
          <t>Cobros suscripción</t>
        </is>
      </c>
      <c r="D17" s="16" t="inlineStr">
        <is>
          <t>Pendiente</t>
        </is>
      </c>
      <c r="E17" s="14" t="inlineStr">
        <is>
          <t>Integrar servicio de facturación electrónica</t>
        </is>
      </c>
      <c r="F17" s="14" t="inlineStr">
        <is>
          <t>Multa SENIAT, no se puede facturar legal</t>
        </is>
      </c>
    </row>
    <row r="18">
      <c r="A18" s="14" t="inlineStr">
        <is>
          <t>C17</t>
        </is>
      </c>
      <c r="B18" s="14" t="inlineStr">
        <is>
          <t>RIF empresa</t>
        </is>
      </c>
      <c r="C18" s="14" t="inlineStr">
        <is>
          <t>Operación</t>
        </is>
      </c>
      <c r="D18" s="16" t="inlineStr">
        <is>
          <t>Pendiente</t>
        </is>
      </c>
      <c r="E18" s="14" t="inlineStr">
        <is>
          <t>Constituir compañía o trabajar como persona natural</t>
        </is>
      </c>
      <c r="F18" s="14" t="inlineStr">
        <is>
          <t>No se puede facturar B2B</t>
        </is>
      </c>
    </row>
    <row r="19">
      <c r="A19" s="14" t="inlineStr">
        <is>
          <t>C18</t>
        </is>
      </c>
      <c r="B19" s="14" t="inlineStr">
        <is>
          <t>Política antifraude pagos</t>
        </is>
      </c>
      <c r="C19" s="14" t="inlineStr">
        <is>
          <t>Suscripciones</t>
        </is>
      </c>
      <c r="D19" s="16" t="inlineStr">
        <is>
          <t>Pendiente</t>
        </is>
      </c>
      <c r="E19" s="14" t="inlineStr">
        <is>
          <t>Validar que comprobantes no se usen 2 veces, doble check banco</t>
        </is>
      </c>
      <c r="F19" s="14" t="inlineStr">
        <is>
          <t>Pérdida económica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4" customWidth="1" min="4" max="4"/>
    <col width="12" customWidth="1" min="5" max="5"/>
    <col width="50" customWidth="1" min="6" max="6"/>
  </cols>
  <sheetData>
    <row r="1" ht="32" customHeight="1">
      <c r="A1" s="13" t="inlineStr">
        <is>
          <t>Servicio</t>
        </is>
      </c>
      <c r="B1" s="13" t="inlineStr">
        <is>
          <t>Para qué</t>
        </is>
      </c>
      <c r="C1" s="13" t="inlineStr">
        <is>
          <t>Plan recomendado</t>
        </is>
      </c>
      <c r="D1" s="13" t="inlineStr">
        <is>
          <t>Costo USD/mes</t>
        </is>
      </c>
      <c r="E1" s="13" t="inlineStr">
        <is>
          <t>Setup time</t>
        </is>
      </c>
      <c r="F1" s="13" t="inlineStr">
        <is>
          <t>Notas</t>
        </is>
      </c>
    </row>
    <row r="2">
      <c r="A2" s="14" t="inlineStr">
        <is>
          <t>Vercel</t>
        </is>
      </c>
      <c r="B2" s="14" t="inlineStr">
        <is>
          <t>Hosting Next.js + dominio + SSL</t>
        </is>
      </c>
      <c r="C2" s="14" t="inlineStr">
        <is>
          <t>Pro</t>
        </is>
      </c>
      <c r="D2" s="14" t="n">
        <v>20</v>
      </c>
      <c r="E2" s="14" t="inlineStr">
        <is>
          <t>5 min</t>
        </is>
      </c>
      <c r="F2" s="14" t="inlineStr">
        <is>
          <t>Free no permite dominio custom con seriedad. Pro incluye DPA.</t>
        </is>
      </c>
    </row>
    <row r="3">
      <c r="A3" s="14" t="inlineStr">
        <is>
          <t>Supabase</t>
        </is>
      </c>
      <c r="B3" s="14" t="inlineStr">
        <is>
          <t>BD + Auth + Storage</t>
        </is>
      </c>
      <c r="C3" s="14" t="inlineStr">
        <is>
          <t>Pro</t>
        </is>
      </c>
      <c r="D3" s="14" t="n">
        <v>25</v>
      </c>
      <c r="E3" s="14" t="inlineStr">
        <is>
          <t>0 min</t>
        </is>
      </c>
      <c r="F3" s="14" t="inlineStr">
        <is>
          <t>Free se duerme. Pro = backups + más recursos.</t>
        </is>
      </c>
    </row>
    <row r="4">
      <c r="A4" s="14" t="inlineStr">
        <is>
          <t>Resend</t>
        </is>
      </c>
      <c r="B4" s="14" t="inlineStr">
        <is>
          <t>Email transaccional</t>
        </is>
      </c>
      <c r="C4" s="14" t="inlineStr">
        <is>
          <t>Free</t>
        </is>
      </c>
      <c r="D4" s="14" t="n">
        <v>0</v>
      </c>
      <c r="E4" s="14" t="inlineStr">
        <is>
          <t>15 min</t>
        </is>
      </c>
      <c r="F4" s="14" t="inlineStr">
        <is>
          <t>3000 emails/mes gratis. Custom domain + DKIM.</t>
        </is>
      </c>
    </row>
    <row r="5">
      <c r="A5" s="14" t="inlineStr">
        <is>
          <t>Cloudflare Turnstile</t>
        </is>
      </c>
      <c r="B5" s="14" t="inlineStr">
        <is>
          <t>CAPTCHA</t>
        </is>
      </c>
      <c r="C5" s="14" t="inlineStr">
        <is>
          <t>Free</t>
        </is>
      </c>
      <c r="D5" s="14" t="n">
        <v>0</v>
      </c>
      <c r="E5" s="14" t="inlineStr">
        <is>
          <t>10 min</t>
        </is>
      </c>
      <c r="F5" s="14" t="inlineStr">
        <is>
          <t>Privacy-friendly, alternativa reCAPTCHA.</t>
        </is>
      </c>
    </row>
    <row r="6">
      <c r="A6" s="14" t="inlineStr">
        <is>
          <t>Sentry</t>
        </is>
      </c>
      <c r="B6" s="14" t="inlineStr">
        <is>
          <t>Error monitoring</t>
        </is>
      </c>
      <c r="C6" s="14" t="inlineStr">
        <is>
          <t>Developer</t>
        </is>
      </c>
      <c r="D6" s="14" t="n">
        <v>0</v>
      </c>
      <c r="E6" s="14" t="inlineStr">
        <is>
          <t>30 min</t>
        </is>
      </c>
      <c r="F6" s="14" t="inlineStr">
        <is>
          <t>Free hasta 5K errors/mes.</t>
        </is>
      </c>
    </row>
    <row r="7">
      <c r="A7" s="14" t="inlineStr">
        <is>
          <t>Plausible Analytics</t>
        </is>
      </c>
      <c r="B7" s="14" t="inlineStr">
        <is>
          <t>Web analytics privacy-friendly</t>
        </is>
      </c>
      <c r="C7" s="14" t="inlineStr">
        <is>
          <t>Starter</t>
        </is>
      </c>
      <c r="D7" s="14" t="n">
        <v>9</v>
      </c>
      <c r="E7" s="14" t="inlineStr">
        <is>
          <t>15 min</t>
        </is>
      </c>
      <c r="F7" s="14" t="inlineStr">
        <is>
          <t>O Google Analytics gratis con cookies.</t>
        </is>
      </c>
    </row>
    <row r="8">
      <c r="A8" s="14" t="inlineStr">
        <is>
          <t>Tawk.to</t>
        </is>
      </c>
      <c r="B8" s="14" t="inlineStr">
        <is>
          <t>Chat de soporte en vivo</t>
        </is>
      </c>
      <c r="C8" s="14" t="inlineStr">
        <is>
          <t>Free</t>
        </is>
      </c>
      <c r="D8" s="14" t="n">
        <v>0</v>
      </c>
      <c r="E8" s="14" t="inlineStr">
        <is>
          <t>20 min</t>
        </is>
      </c>
      <c r="F8" s="14" t="inlineStr">
        <is>
          <t>100% gratis, ad-supported version.</t>
        </is>
      </c>
    </row>
    <row r="9">
      <c r="A9" s="14" t="inlineStr">
        <is>
          <t>Crisp</t>
        </is>
      </c>
      <c r="B9" s="14" t="inlineStr">
        <is>
          <t>Alternativa a Tawk con UI mejor</t>
        </is>
      </c>
      <c r="C9" s="14" t="inlineStr">
        <is>
          <t>Free / Pro</t>
        </is>
      </c>
      <c r="D9" s="14" t="n">
        <v>25</v>
      </c>
      <c r="E9" s="14" t="inlineStr">
        <is>
          <t>20 min</t>
        </is>
      </c>
      <c r="F9" s="14" t="inlineStr">
        <is>
          <t>Free limita 2 agentes.</t>
        </is>
      </c>
    </row>
    <row r="10">
      <c r="A10" s="14" t="inlineStr">
        <is>
          <t>Stripe</t>
        </is>
      </c>
      <c r="B10" s="14" t="inlineStr">
        <is>
          <t>Pagos automáticos</t>
        </is>
      </c>
      <c r="C10" s="14" t="inlineStr">
        <is>
          <t>Pay-as-you-go</t>
        </is>
      </c>
      <c r="D10" s="14" t="n">
        <v>0</v>
      </c>
      <c r="E10" s="14" t="inlineStr">
        <is>
          <t>2-4h</t>
        </is>
      </c>
      <c r="F10" s="14" t="inlineStr">
        <is>
          <t>2.9% + $0.30 por transacción.</t>
        </is>
      </c>
    </row>
    <row r="11">
      <c r="A11" s="14" t="inlineStr">
        <is>
          <t>Daily.co</t>
        </is>
      </c>
      <c r="B11" s="14" t="inlineStr">
        <is>
          <t>Video calls (telemedicina)</t>
        </is>
      </c>
      <c r="C11" s="14" t="inlineStr">
        <is>
          <t>Free</t>
        </is>
      </c>
      <c r="D11" s="14" t="n">
        <v>0</v>
      </c>
      <c r="E11" s="14" t="inlineStr">
        <is>
          <t>4h</t>
        </is>
      </c>
      <c r="F11" s="14" t="inlineStr">
        <is>
          <t>10K minutos gratis. Despues $0.004/min.</t>
        </is>
      </c>
    </row>
    <row r="12">
      <c r="A12" s="14" t="inlineStr">
        <is>
          <t>WhatsApp Business API (Meta)</t>
        </is>
      </c>
      <c r="B12" s="14" t="inlineStr">
        <is>
          <t>Mensajería oficial</t>
        </is>
      </c>
      <c r="C12" s="14" t="inlineStr">
        <is>
          <t>Free + per-msg</t>
        </is>
      </c>
      <c r="D12" s="14" t="n">
        <v>0</v>
      </c>
      <c r="E12" s="14" t="inlineStr">
        <is>
          <t>2 semanas</t>
        </is>
      </c>
      <c r="F12" s="14" t="inlineStr">
        <is>
          <t>Aprobación Meta Business + verificación.</t>
        </is>
      </c>
    </row>
    <row r="13">
      <c r="A13" s="14" t="inlineStr">
        <is>
          <t>Cloudflare</t>
        </is>
      </c>
      <c r="B13" s="14" t="inlineStr">
        <is>
          <t>CDN + DDoS protection</t>
        </is>
      </c>
      <c r="C13" s="14" t="inlineStr">
        <is>
          <t>Free</t>
        </is>
      </c>
      <c r="D13" s="14" t="n">
        <v>0</v>
      </c>
      <c r="E13" s="14" t="inlineStr">
        <is>
          <t>30 min</t>
        </is>
      </c>
      <c r="F13" s="14" t="inlineStr">
        <is>
          <t>Adicional al CDN de Vercel para protection.</t>
        </is>
      </c>
    </row>
    <row r="14">
      <c r="A14" s="14" t="inlineStr">
        <is>
          <t>Conectae / Tehiwolf</t>
        </is>
      </c>
      <c r="B14" s="14" t="inlineStr">
        <is>
          <t>Facturación SENIAT</t>
        </is>
      </c>
      <c r="C14" s="14" t="inlineStr">
        <is>
          <t>Variable</t>
        </is>
      </c>
      <c r="D14" s="14" t="n">
        <v>30</v>
      </c>
      <c r="E14" s="14" t="inlineStr">
        <is>
          <t>1 semana</t>
        </is>
      </c>
      <c r="F14" s="14" t="inlineStr">
        <is>
          <t>Servicios locales VE.</t>
        </is>
      </c>
    </row>
    <row r="15">
      <c r="A15" s="14" t="inlineStr">
        <is>
          <t>Google Workspace</t>
        </is>
      </c>
      <c r="B15" s="14" t="inlineStr">
        <is>
          <t>Email empresarial @dominio</t>
        </is>
      </c>
      <c r="C15" s="14" t="inlineStr">
        <is>
          <t>Business Starter</t>
        </is>
      </c>
      <c r="D15" s="14" t="n">
        <v>6</v>
      </c>
      <c r="E15" s="14" t="inlineStr">
        <is>
          <t>1h</t>
        </is>
      </c>
      <c r="F15" s="14" t="inlineStr">
        <is>
          <t>Para soporte@, hola@, etc.</t>
        </is>
      </c>
    </row>
    <row r="17">
      <c r="A17" s="32" t="inlineStr">
        <is>
          <t>TOTAL MÍNIMO USD/mes</t>
        </is>
      </c>
      <c r="D17" s="35">
        <f>SUM(D2:D15)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2026-04-30T00:30:56Z</dcterms:created>
  <dcterms:modified xsi:type="dcterms:W3CDTF">2026-04-30T00:30:56Z</dcterms:modified>
</cp:coreProperties>
</file>