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Bug Tracker" sheetId="2" state="visible" r:id="rId4"/>
    <sheet name="📘 Instrucciones" sheetId="3" state="visible" r:id="rId5"/>
    <sheet name="🔑 Accesos" sheetId="4" state="visible" r:id="rId6"/>
    <sheet name="🗺️ Módulo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<sst xmlns="http://schemas.openxmlformats.org/spreadsheetml/2006/main" count="303" uniqueCount="202">
  <si>
    <t xml:space="preserve">Dashboard de QA</t>
  </si>
  <si>
    <t xml:space="preserve">Total bugs reportados</t>
  </si>
  <si>
    <t xml:space="preserve">Por severidad</t>
  </si>
  <si>
    <t xml:space="preserve">P0 - Bloqueante</t>
  </si>
  <si>
    <t xml:space="preserve">P1 - Crítico</t>
  </si>
  <si>
    <t xml:space="preserve">P2 - Medio</t>
  </si>
  <si>
    <t xml:space="preserve">P3 - Cosmético</t>
  </si>
  <si>
    <t xml:space="preserve">Por status</t>
  </si>
  <si>
    <t xml:space="preserve">Abierto</t>
  </si>
  <si>
    <t xml:space="preserve">En fix</t>
  </si>
  <si>
    <t xml:space="preserve">En review</t>
  </si>
  <si>
    <t xml:space="preserve">Cerrado</t>
  </si>
  <si>
    <t xml:space="preserve">No es bug</t>
  </si>
  <si>
    <t xml:space="preserve">Por rol</t>
  </si>
  <si>
    <t xml:space="preserve">admin</t>
  </si>
  <si>
    <t xml:space="preserve">doctor</t>
  </si>
  <si>
    <t xml:space="preserve">paciente</t>
  </si>
  <si>
    <t xml:space="preserve">invitado</t>
  </si>
  <si>
    <t xml:space="preserve">ID</t>
  </si>
  <si>
    <t xml:space="preserve">Fecha</t>
  </si>
  <si>
    <t xml:space="preserve">ROL</t>
  </si>
  <si>
    <t xml:space="preserve">PANTALLA (URL)</t>
  </si>
  <si>
    <t xml:space="preserve">ACCIÓN (pasos)</t>
  </si>
  <si>
    <t xml:space="preserve">ESPERO</t>
  </si>
  <si>
    <t xml:space="preserve">RESULTA</t>
  </si>
  <si>
    <t xml:space="preserve">EVIDENCIA (link)</t>
  </si>
  <si>
    <t xml:space="preserve">PROMPT DE SOLUCIÓN</t>
  </si>
  <si>
    <t xml:space="preserve">Severidad</t>
  </si>
  <si>
    <t xml:space="preserve">Status</t>
  </si>
  <si>
    <t xml:space="preserve">Notas del dev</t>
  </si>
  <si>
    <t xml:space="preserve">Fecha cierre</t>
  </si>
  <si>
    <t xml:space="preserve">BUG-001</t>
  </si>
  <si>
    <t xml:space="preserve">2026-04-22</t>
  </si>
  <si>
    <t xml:space="preserve">/doctor/agenda</t>
  </si>
  <si>
    <t xml:space="preserve">1. Login como doctor
2. Ir a /doctor/agenda
3. Click en una cita confirmada de hoy
4. Click en el botón 'Marcar como atendida'</t>
  </si>
  <si>
    <t xml:space="preserve">La cita debería cambiar a estado 'Asistió' (completed), descontarse una sesión del paquete del paciente, y mostrar un toast verde de confirmación.</t>
  </si>
  <si>
    <t xml:space="preserve">Aparece un error 500 en pantalla. En la consola dice 'NOT_AUTHENTICATED'. La cita sigue en estado 'Aprobada'. No se descontó la sesión.</t>
  </si>
  <si>
    <t xml:space="preserve">https://loom.com/share/ejemplo123</t>
  </si>
  <si>
    <t xml:space="preserve">El botón 'Marcar como atendida' en /doctor/agenda devuelve 500 NOT_AUTHENTICATED. Revisa que el RPC change_appointment_status esté recibiendo el p_actor_id correcto cuando se llama desde el cliente autenticado. El doctor está logueado (veo su JWT en cookies), pero el RPC piensa que no hay sesión. Revisa también si hay versiones duplicadas del RPC que estén causando ambigüedad. Arregla y confirma con un test Playwright que reproduzca el flujo.</t>
  </si>
  <si>
    <t xml:space="preserve">BUG-002</t>
  </si>
  <si>
    <t xml:space="preserve">/book/abc123</t>
  </si>
  <si>
    <t xml:space="preserve">1. Entrar como invitado al link de booking del doctor
2. Seleccionar 'Consulta general' en paso 1
3. Elegir fecha martes 10am
4. Elegir modalidad 'Presencial'
5. Método de pago 'Pago Móvil'
6. Subir comprobante (foto JPG 2MB)
7. Click 'Confirmar cita'</t>
  </si>
  <si>
    <t xml:space="preserve">La cita debe crearse, el comprobante debe quedar guardado en Supabase Storage, y debo ver una pantalla de confirmación con el código de cita.</t>
  </si>
  <si>
    <t xml:space="preserve">La cita SÍ se crea pero la imagen del comprobante no aparece en el admin. En /admin/subscriptions el comprobante está vacío. Además el toast de confirmación no muestra el código de la cita.</t>
  </si>
  <si>
    <t xml:space="preserve">https://drive.google.com/screenshot-ejemplo</t>
  </si>
  <si>
    <t xml:space="preserve">En el flujo /book/[doctorId], el upload de comprobante al bucket 'payment-receipts' parece estar fallando silenciosamente. Revisa el handler en /api/book: 1) Que el archivo efectivamente se esté subiendo antes del INSERT. 2) Que la URL pública del receipt se esté guardando en appointments.payment_receipt_url. 3) Que la pantalla de confirmación final muestre el appointment_code generado.</t>
  </si>
  <si>
    <t xml:space="preserve">BUG-003</t>
  </si>
  <si>
    <t xml:space="preserve">/admin/plans</t>
  </si>
  <si>
    <t xml:space="preserve">1. Login como admin
2. Ir a /admin/plans
3. Desactivar el plan 'Professional' con el toggle
4. Ir a /register y abrir selector de planes</t>
  </si>
  <si>
    <t xml:space="preserve">En /register no debería aparecer el plan 'Professional' ya que lo desactivé.</t>
  </si>
  <si>
    <t xml:space="preserve">El plan Professional sigue apareciendo en /register. Parece un problema de cache.</t>
  </si>
  <si>
    <t xml:space="preserve">https://loom.com/share/ejemplo456</t>
  </si>
  <si>
    <t xml:space="preserve">Al desactivar un plan en /admin/plans, el cambio se guarda en plan_configs.is_active=false, pero /register sigue mostrándolo. Revisa si /register tiene revalidation/ISR mal configurado. Considera agregar revalidatePath('/register') en la Server Action del admin, o cambiar /register a un fetch con cache: 'no-store'.</t>
  </si>
  <si>
    <t xml:space="preserve">Delta Medical CRM — Formato de reporte de bugs</t>
  </si>
  <si>
    <t xml:space="preserve">¿Qué es esto?</t>
  </si>
  <si>
    <t xml:space="preserve">Esta hoja es donde registras cada problema que encuentres probando la app. Cada fila = un bug. Al completar una fila, avisa por WhatsApp para que Jesús le dé prioridad.</t>
  </si>
  <si>
    <t xml:space="preserve">Cómo llenar cada columna</t>
  </si>
  <si>
    <t xml:space="preserve">Formato: BUG-001, BUG-002, BUG-003…  Correlativo, no reutilices números.</t>
  </si>
  <si>
    <t xml:space="preserve">Fecha del día que encontraste el bug. Formato YYYY-MM-DD (ej: 2026-04-22).</t>
  </si>
  <si>
    <t xml:space="preserve">Con qué cuenta estabas probando cuando encontraste el bug. Solo 4 opciones:</t>
  </si>
  <si>
    <t xml:space="preserve">  • admin     → qa.admin@delta.test</t>
  </si>
  <si>
    <t xml:space="preserve">  • doctor    → qa.doctor@delta.test</t>
  </si>
  <si>
    <t xml:space="preserve">  • paciente  → qa.patient@delta.test</t>
  </si>
  <si>
    <t xml:space="preserve">  • invitado  → no logueado (ej: flujo /book/xxx)</t>
  </si>
  <si>
    <t xml:space="preserve">La URL exacta donde ocurre el bug. Copia desde la barra del navegador.</t>
  </si>
  <si>
    <t xml:space="preserve">Ejemplo: /doctor/agenda  |  /admin/plans  |  /book/abc123</t>
  </si>
  <si>
    <t xml:space="preserve">Los pasos EXACTOS para reproducir el bug, numerados. Sé específico — si no lo puedo reproducir, no lo puedo arreglar.</t>
  </si>
  <si>
    <t xml:space="preserve">Ejemplo:
1. Login como doctor
2. Ir a /doctor/agenda
3. Click en cita del martes 10am
4. Click 'Marcar como atendida'</t>
  </si>
  <si>
    <t xml:space="preserve">Qué debería pasar si todo funciona bien. Lo que tú asumes que es el comportamiento correcto.</t>
  </si>
  <si>
    <t xml:space="preserve">Qué pasa en realidad. Sé literal: ¿error en pantalla? ¿página en blanco? ¿mensaje raro? ¿datos incorrectos?</t>
  </si>
  <si>
    <t xml:space="preserve">Link a un video (Loom) o captura (Drive, imgur). MUY IMPORTANTE: sin evidencia es muy difícil reproducir.</t>
  </si>
  <si>
    <t xml:space="preserve">Herramientas recomendadas:
• Loom (gratis): https://loom.com
• CleanShot X (Mac) o Awesome Screenshot (extensión Chrome)</t>
  </si>
  <si>
    <t xml:space="preserve">Escribe en tus palabras qué le dirías al programador para que arregle esto. No necesitas saber código — solo describe la solución desde el punto de vista de usuario.</t>
  </si>
  <si>
    <t xml:space="preserve">Ejemplo: "El botón no responde al primer click, hay que hacer click 2 veces. Debería funcionar al primer click." — eso ya es un prompt útil.</t>
  </si>
  <si>
    <t xml:space="preserve">Si tienes una idea de qué podría estar causándolo (ej: parece problema de cache, parece que carga mal los datos), agrégalo — ayuda.</t>
  </si>
  <si>
    <t xml:space="preserve">Qué tan grave es el bug. Solo 4 niveles:</t>
  </si>
  <si>
    <t xml:space="preserve">  P0 - Bloqueante: No puedo usar el sistema. Ej: login roto, no puedo agendar.</t>
  </si>
  <si>
    <t xml:space="preserve">  P1 - Crítico:    El flujo funciona mal pero hay workaround. Ej: el comprobante no se guarda.</t>
  </si>
  <si>
    <t xml:space="preserve">  P2 - Medio:      Feature secundaria rota o funciona mal. Ej: un cálculo incorrecto que no bloquea nada.</t>
  </si>
  <si>
    <t xml:space="preserve">  P3 - Cosmético:  Detalle visual, tipografía, color, espaciado, texto mal escrito.</t>
  </si>
  <si>
    <t xml:space="preserve">Tú dejas en 'Abierto' cuando reportas. Jesús cambiará a 'En fix' / 'En review' / 'Cerrado' conforme avanza.</t>
  </si>
  <si>
    <t xml:space="preserve">Notas del dev y Fecha cierre</t>
  </si>
  <si>
    <t xml:space="preserve">Esas las llena Jesús. Tú no tocas esas columnas.</t>
  </si>
  <si>
    <t xml:space="preserve">Filtros útiles</t>
  </si>
  <si>
    <t xml:space="preserve">Usa Data &gt; Filter en Google Sheets para ver:</t>
  </si>
  <si>
    <t xml:space="preserve">• Todos los P0 abiertos → prioridad máxima</t>
  </si>
  <si>
    <t xml:space="preserve">• Todos los del rol doctor → concentrarse en ese flujo</t>
  </si>
  <si>
    <t xml:space="preserve">• Todos los de un módulo → /doctor/agenda por ejemplo</t>
  </si>
  <si>
    <t xml:space="preserve">Reglas de oro</t>
  </si>
  <si>
    <t xml:space="preserve">1. Un bug por fila. No acumules varios bugs en una misma fila.</t>
  </si>
  <si>
    <t xml:space="preserve">2. Siempre graba evidencia. Un Loom de 30 segundos ahorra horas de debugging.</t>
  </si>
  <si>
    <t xml:space="preserve">3. Antes de reportar, intenta reproducir 2-3 veces. Si pasa siempre → bug confirmado. Si pasa a veces → agrégalo en 'Resulta' que es intermitente.</t>
  </si>
  <si>
    <t xml:space="preserve">4. Probar en Chrome primero. Si el bug también ocurre en otros browsers, anotarlo.</t>
  </si>
  <si>
    <t xml:space="preserve">5. Reportar en caliente. No acumules 10 bugs para reportar todos el viernes — reporta apenas encuentres.</t>
  </si>
  <si>
    <t xml:space="preserve">Accesos para testing</t>
  </si>
  <si>
    <t xml:space="preserve">URL de la app</t>
  </si>
  <si>
    <t xml:space="preserve">https://medsaas-venezuela.vercel.app/login</t>
  </si>
  <si>
    <t xml:space="preserve">Cuentas de prueba</t>
  </si>
  <si>
    <t xml:space="preserve">Rol</t>
  </si>
  <si>
    <t xml:space="preserve">Email</t>
  </si>
  <si>
    <t xml:space="preserve">Contraseña</t>
  </si>
  <si>
    <t xml:space="preserve">Redirige a</t>
  </si>
  <si>
    <t xml:space="preserve">Super Admin</t>
  </si>
  <si>
    <t xml:space="preserve">qa.admin@delta.test</t>
  </si>
  <si>
    <t xml:space="preserve">QaAdmin2026!</t>
  </si>
  <si>
    <t xml:space="preserve">/admin</t>
  </si>
  <si>
    <t xml:space="preserve">Doctor</t>
  </si>
  <si>
    <t xml:space="preserve">qa.doctor@delta.test</t>
  </si>
  <si>
    <t xml:space="preserve">QaDoctor2026!</t>
  </si>
  <si>
    <t xml:space="preserve">/doctor</t>
  </si>
  <si>
    <t xml:space="preserve">Paciente</t>
  </si>
  <si>
    <t xml:space="preserve">qa.patient@delta.test</t>
  </si>
  <si>
    <t xml:space="preserve">QaPatient2026!</t>
  </si>
  <si>
    <t xml:space="preserve">/patient</t>
  </si>
  <si>
    <t xml:space="preserve">Pasos de login</t>
  </si>
  <si>
    <t xml:space="preserve">1. Abrir https://medsaas-venezuela.vercel.app/login</t>
  </si>
  <si>
    <t xml:space="preserve">2. Click en el botón 'Iniciar con email y contraseña'</t>
  </si>
  <si>
    <t xml:space="preserve">3. Llenar email + contraseña de la tabla de arriba</t>
  </si>
  <si>
    <t xml:space="preserve">4. Click 'Ingresar'</t>
  </si>
  <si>
    <t xml:space="preserve">5. Redirige automático a /admin, /doctor o /patient según el rol</t>
  </si>
  <si>
    <t xml:space="preserve">Reglas importantes</t>
  </si>
  <si>
    <t xml:space="preserve">• NO compartas estas credenciales con nadie más.</t>
  </si>
  <si>
    <t xml:space="preserve">• NO borres datos de producción desde admin. Si necesitas probar borrado, avisa a Jesús.</t>
  </si>
  <si>
    <t xml:space="preserve">• NO envíes mensajes reales por WhatsApp cuando se active esa integración.</t>
  </si>
  <si>
    <t xml:space="preserve">• Puedes crear citas, pacientes, consultas, paquetes de prueba — todo eso está permitido.</t>
  </si>
  <si>
    <t xml:space="preserve">• Si haces un desastre con data de prueba, avisa y se limpia.</t>
  </si>
  <si>
    <t xml:space="preserve">Mapa de módulos a probar</t>
  </si>
  <si>
    <t xml:space="preserve">Marca con ✅ cada módulo conforme lo pruebes. Si encuentras bugs, reporta en la hoja 'Bug Tracker'.</t>
  </si>
  <si>
    <t xml:space="preserve">URL</t>
  </si>
  <si>
    <t xml:space="preserve">Qué probar</t>
  </si>
  <si>
    <t xml:space="preserve">Estado</t>
  </si>
  <si>
    <t xml:space="preserve">Notas</t>
  </si>
  <si>
    <t xml:space="preserve">Dashboard con KPIs (médicos activos, ingresos, etc.). Verificar que los números tengan sentido.</t>
  </si>
  <si>
    <t xml:space="preserve">Pendiente</t>
  </si>
  <si>
    <t xml:space="preserve">/admin/doctors</t>
  </si>
  <si>
    <t xml:space="preserve">Lista de médicos. Crear médico nuevo. Crear clínica nueva.</t>
  </si>
  <si>
    <t xml:space="preserve">/admin/patients</t>
  </si>
  <si>
    <t xml:space="preserve">Estadísticas globales de pacientes (edad, email, consultas).</t>
  </si>
  <si>
    <t xml:space="preserve">/admin/subscriptions</t>
  </si>
  <si>
    <t xml:space="preserve">Lista de suscripciones. Cambiar plan de un médico. Extender suscripción.</t>
  </si>
  <si>
    <t xml:space="preserve">Activar/desactivar planes. Verificar que al desactivar el plan no aparezca en /register.</t>
  </si>
  <si>
    <t xml:space="preserve">/admin/plan-features</t>
  </si>
  <si>
    <t xml:space="preserve">Activar/desactivar features por plan. Verificar que el doctor vea/no vea el módulo correspondiente.</t>
  </si>
  <si>
    <t xml:space="preserve">/admin/reminders</t>
  </si>
  <si>
    <t xml:space="preserve">Configuración global de recordatorios.</t>
  </si>
  <si>
    <t xml:space="preserve">/admin/settings</t>
  </si>
  <si>
    <t xml:space="preserve">Gestión de admins + tasa BCV.</t>
  </si>
  <si>
    <t xml:space="preserve">/admin/roles</t>
  </si>
  <si>
    <t xml:space="preserve">Gestión de roles.</t>
  </si>
  <si>
    <t xml:space="preserve">Dashboard: 3 KPIs (ingresos, pacientes, atendidos) + citas del día + finanzas del mes.</t>
  </si>
  <si>
    <t xml:space="preserve">/doctor (botón 'Crear Consulta')</t>
  </si>
  <si>
    <t xml:space="preserve">Debe abrir modal acordeón de 6 pasos: Paciente → Fecha/hora → Modalidad → Motivo → Plan → Pago.</t>
  </si>
  <si>
    <t xml:space="preserve">Calendario semana/mes/día. Click en cita → modal con botones Confirmar / Marcar atendida / Cancelar / No asistió.</t>
  </si>
  <si>
    <t xml:space="preserve">/doctor/agenda (filtros)</t>
  </si>
  <si>
    <t xml:space="preserve">6 filtros: Todas / Agendadas / Aprobadas / Rechazadas / Asistió / No asistió. Probar cada uno.</t>
  </si>
  <si>
    <t xml:space="preserve">/doctor/patients</t>
  </si>
  <si>
    <t xml:space="preserve">Lista de pacientes. Ver detalle. Editar datos.</t>
  </si>
  <si>
    <t xml:space="preserve">/doctor/consultations</t>
  </si>
  <si>
    <t xml:space="preserve">Lista de consultas. Crear consulta.</t>
  </si>
  <si>
    <t xml:space="preserve">/doctor/consultations/[id]</t>
  </si>
  <si>
    <t xml:space="preserve">Vista de consulta con bloques dinámicos según plantilla configurada.</t>
  </si>
  <si>
    <t xml:space="preserve">/doctor/ehr</t>
  </si>
  <si>
    <t xml:space="preserve">Historial clínico electrónico.</t>
  </si>
  <si>
    <t xml:space="preserve">/doctor/finances</t>
  </si>
  <si>
    <t xml:space="preserve">Finanzas del doctor. Marcar pago como aprobado.</t>
  </si>
  <si>
    <t xml:space="preserve">/doctor/billing</t>
  </si>
  <si>
    <t xml:space="preserve">Facturación.</t>
  </si>
  <si>
    <t xml:space="preserve">/doctor/reports</t>
  </si>
  <si>
    <t xml:space="preserve">Reportería con filtros de fecha.</t>
  </si>
  <si>
    <t xml:space="preserve">/doctor/crm</t>
  </si>
  <si>
    <t xml:space="preserve">CRM de leads.</t>
  </si>
  <si>
    <t xml:space="preserve">/doctor/reminders</t>
  </si>
  <si>
    <t xml:space="preserve">Configuración de recordatorios del doctor.</t>
  </si>
  <si>
    <t xml:space="preserve">/doctor/messages</t>
  </si>
  <si>
    <t xml:space="preserve">Chat con pacientes.</t>
  </si>
  <si>
    <t xml:space="preserve">/doctor/invitations</t>
  </si>
  <si>
    <t xml:space="preserve">Generar link de invitación único.</t>
  </si>
  <si>
    <t xml:space="preserve">/doctor/services</t>
  </si>
  <si>
    <t xml:space="preserve">Planes/tarifas del doctor + paquetes.</t>
  </si>
  <si>
    <t xml:space="preserve">/doctor/settings</t>
  </si>
  <si>
    <t xml:space="preserve">Perfil, booking link, métodos de pago, tasa de cambio.</t>
  </si>
  <si>
    <t xml:space="preserve">/doctor/settings/consultation-blocks</t>
  </si>
  <si>
    <t xml:space="preserve">Configurar bloques de consulta personalizados.</t>
  </si>
  <si>
    <t xml:space="preserve">Dashboard: próxima cita + paquetes activos con doctor + link para agendar.</t>
  </si>
  <si>
    <t xml:space="preserve">/patient/appointments</t>
  </si>
  <si>
    <t xml:space="preserve">Historial de citas.</t>
  </si>
  <si>
    <t xml:space="preserve">/patient/reports</t>
  </si>
  <si>
    <t xml:space="preserve">Informes médicos.</t>
  </si>
  <si>
    <t xml:space="preserve">/patient/prescriptions</t>
  </si>
  <si>
    <t xml:space="preserve">Recetas.</t>
  </si>
  <si>
    <t xml:space="preserve">/patient/messages</t>
  </si>
  <si>
    <t xml:space="preserve">Chat con doctor.</t>
  </si>
  <si>
    <t xml:space="preserve">/patient/profile</t>
  </si>
  <si>
    <t xml:space="preserve">Perfil personal + datos médicos.</t>
  </si>
  <si>
    <t xml:space="preserve">/login</t>
  </si>
  <si>
    <t xml:space="preserve">Login con email/password. Probar redirect según rol.</t>
  </si>
  <si>
    <t xml:space="preserve">/register</t>
  </si>
  <si>
    <t xml:space="preserve">Registro de médico con selector de planes. Verificar email de verificación.</t>
  </si>
  <si>
    <t xml:space="preserve">/patient/register</t>
  </si>
  <si>
    <t xml:space="preserve">Registro de paciente.</t>
  </si>
  <si>
    <t xml:space="preserve">/book/[doctorId]</t>
  </si>
  <si>
    <t xml:space="preserve">Booking público acordeón 5 pasos. Probar con paquete prepagado y sin paquete.</t>
  </si>
</sst>
</file>

<file path=xl/styles.xml><?xml version="1.0" encoding="utf-8"?>
<styleSheet xmlns="http://schemas.openxmlformats.org/spreadsheetml/2006/main">
  <numFmts count="1">
    <numFmt numFmtId="164" formatCode="General"/>
  </numFmts>
  <fonts count="30">
    <font>
      <sz val="11"/>
      <color theme="1"/>
      <name val="Calibri"/>
      <family val="2"/>
      <charset val="1"/>
    </font>
    <font>
      <sz val="10"/>
      <name val="Arial"/>
      <family val="0"/>
    </font>
    <font>
      <sz val="10"/>
      <name val="Arial"/>
      <family val="0"/>
    </font>
    <font>
      <sz val="10"/>
      <name val="Arial"/>
      <family val="0"/>
    </font>
    <font>
      <b val="true"/>
      <sz val="22"/>
      <color rgb="FF0F1A2A"/>
      <name val="Arial"/>
      <family val="0"/>
      <charset val="1"/>
    </font>
    <font>
      <b val="true"/>
      <sz val="11"/>
      <name val="Arial"/>
      <family val="0"/>
      <charset val="1"/>
    </font>
    <font>
      <b val="true"/>
      <sz val="16"/>
      <color rgb="FF14B8A6"/>
      <name val="Arial"/>
      <family val="0"/>
      <charset val="1"/>
    </font>
    <font>
      <b val="true"/>
      <sz val="14"/>
      <color rgb="FF14B8A6"/>
      <name val="Arial"/>
      <family val="0"/>
      <charset val="1"/>
    </font>
    <font>
      <b val="true"/>
      <sz val="11"/>
      <color rgb="FF991B1B"/>
      <name val="Arial"/>
      <family val="0"/>
      <charset val="1"/>
    </font>
    <font>
      <b val="true"/>
      <sz val="14"/>
      <color rgb="FF991B1B"/>
      <name val="Arial"/>
      <family val="0"/>
      <charset val="1"/>
    </font>
    <font>
      <b val="true"/>
      <sz val="11"/>
      <color rgb="FF9A3412"/>
      <name val="Arial"/>
      <family val="0"/>
      <charset val="1"/>
    </font>
    <font>
      <b val="true"/>
      <sz val="14"/>
      <color rgb="FF9A3412"/>
      <name val="Arial"/>
      <family val="0"/>
      <charset val="1"/>
    </font>
    <font>
      <b val="true"/>
      <sz val="11"/>
      <color rgb="FF92400E"/>
      <name val="Arial"/>
      <family val="0"/>
      <charset val="1"/>
    </font>
    <font>
      <b val="true"/>
      <sz val="14"/>
      <color rgb="FF92400E"/>
      <name val="Arial"/>
      <family val="0"/>
      <charset val="1"/>
    </font>
    <font>
      <b val="true"/>
      <sz val="11"/>
      <color rgb="FF1E40AF"/>
      <name val="Arial"/>
      <family val="0"/>
      <charset val="1"/>
    </font>
    <font>
      <b val="true"/>
      <sz val="14"/>
      <color rgb="FF1E40AF"/>
      <name val="Arial"/>
      <family val="0"/>
      <charset val="1"/>
    </font>
    <font>
      <b val="true"/>
      <sz val="11"/>
      <color rgb="FF065F46"/>
      <name val="Arial"/>
      <family val="0"/>
      <charset val="1"/>
    </font>
    <font>
      <b val="true"/>
      <sz val="14"/>
      <color rgb="FF065F46"/>
      <name val="Arial"/>
      <family val="0"/>
      <charset val="1"/>
    </font>
    <font>
      <b val="true"/>
      <sz val="11"/>
      <color rgb="FF475569"/>
      <name val="Arial"/>
      <family val="0"/>
      <charset val="1"/>
    </font>
    <font>
      <b val="true"/>
      <sz val="14"/>
      <color rgb="FF475569"/>
      <name val="Arial"/>
      <family val="0"/>
      <charset val="1"/>
    </font>
    <font>
      <sz val="11"/>
      <name val="Arial"/>
      <family val="0"/>
      <charset val="1"/>
    </font>
    <font>
      <b val="true"/>
      <sz val="14"/>
      <color rgb="FF0F1A2A"/>
      <name val="Arial"/>
      <family val="0"/>
      <charset val="1"/>
    </font>
    <font>
      <b val="true"/>
      <sz val="11"/>
      <color rgb="FFFFFFFF"/>
      <name val="Arial"/>
      <family val="0"/>
      <charset val="1"/>
    </font>
    <font>
      <sz val="10"/>
      <name val="Arial"/>
      <family val="0"/>
      <charset val="1"/>
    </font>
    <font>
      <sz val="10"/>
      <color rgb="FF334155"/>
      <name val="Arial"/>
      <family val="0"/>
      <charset val="1"/>
    </font>
    <font>
      <b val="true"/>
      <sz val="11"/>
      <color rgb="FF0F1A2A"/>
      <name val="Arial"/>
      <family val="0"/>
      <charset val="1"/>
    </font>
    <font>
      <sz val="9"/>
      <color rgb="FF64748B"/>
      <name val="Courier New"/>
      <family val="0"/>
      <charset val="1"/>
    </font>
    <font>
      <sz val="11"/>
      <color rgb="FF0D9488"/>
      <name val="Arial"/>
      <family val="0"/>
      <charset val="1"/>
    </font>
    <font>
      <b val="true"/>
      <sz val="14"/>
      <color rgb="FFFF8A65"/>
      <name val="Arial"/>
      <family val="0"/>
      <charset val="1"/>
    </font>
    <font>
      <i val="true"/>
      <sz val="11"/>
      <color rgb="FF334155"/>
      <name val="Arial"/>
      <family val="0"/>
      <charset val="1"/>
    </font>
  </fonts>
  <fills count="4">
    <fill>
      <patternFill patternType="none"/>
    </fill>
    <fill>
      <patternFill patternType="gray125"/>
    </fill>
    <fill>
      <patternFill patternType="solid">
        <fgColor rgb="FF0F1A2A"/>
        <bgColor rgb="FF000000"/>
      </patternFill>
    </fill>
    <fill>
      <patternFill patternType="solid">
        <fgColor rgb="FFF1F5F9"/>
        <bgColor rgb="FFFFFFFF"/>
      </patternFill>
    </fill>
  </fills>
  <borders count="2">
    <border diagonalUp="false" diagonalDown="false">
      <left/>
      <right/>
      <top/>
      <bottom/>
      <diagonal/>
    </border>
    <border diagonalUp="false" diagonalDown="false">
      <left style="thin">
        <color rgb="FFE2E8F0"/>
      </left>
      <right style="thin">
        <color rgb="FFE2E8F0"/>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22" fillId="2" borderId="1" xfId="0" applyFont="true" applyBorder="true" applyAlignment="true" applyProtection="false">
      <alignment horizontal="left" vertical="center"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0" xfId="0" applyFont="true" applyBorder="false" applyAlignment="true" applyProtection="false">
      <alignment horizontal="general" vertical="top" textRotation="0" wrapText="tru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4" fontId="26" fillId="3"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22" fillId="2" borderId="1" xfId="0" applyFont="true" applyBorder="true" applyAlignment="true" applyProtection="false">
      <alignment horizontal="left" vertical="center" textRotation="0" wrapText="false" indent="0" shrinkToFit="false"/>
      <protection locked="true" hidden="false"/>
    </xf>
    <xf numFmtId="164" fontId="23" fillId="0" borderId="1" xfId="0" applyFont="true" applyBorder="true" applyAlignment="true" applyProtection="false">
      <alignment horizontal="general" vertical="center"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name val="Arial"/>
        <charset val="1"/>
        <family val="0"/>
        <b val="1"/>
        <color rgb="FF991B1B"/>
        <sz val="10"/>
      </font>
      <fill>
        <patternFill>
          <bgColor rgb="FFFEE2E2"/>
        </patternFill>
      </fill>
    </dxf>
    <dxf>
      <font>
        <name val="Arial"/>
        <charset val="1"/>
        <family val="0"/>
        <b val="1"/>
        <color rgb="FF9A3412"/>
        <sz val="10"/>
      </font>
      <fill>
        <patternFill>
          <bgColor rgb="FFFED7AA"/>
        </patternFill>
      </fill>
    </dxf>
    <dxf>
      <font>
        <name val="Arial"/>
        <charset val="1"/>
        <family val="0"/>
        <b val="1"/>
        <color rgb="FF92400E"/>
        <sz val="10"/>
      </font>
      <fill>
        <patternFill>
          <bgColor rgb="FFFEF3C7"/>
        </patternFill>
      </fill>
    </dxf>
    <dxf>
      <font>
        <name val="Arial"/>
        <charset val="1"/>
        <family val="0"/>
        <color rgb="FF1E40AF"/>
        <sz val="10"/>
      </font>
      <fill>
        <patternFill>
          <bgColor rgb="FFDBEAFE"/>
        </patternFill>
      </fill>
    </dxf>
    <dxf>
      <font>
        <name val="Arial"/>
        <charset val="1"/>
        <family val="0"/>
        <b val="1"/>
        <color rgb="FF1E40AF"/>
        <sz val="10"/>
      </font>
      <fill>
        <patternFill>
          <bgColor rgb="FFDBEAFE"/>
        </patternFill>
      </fill>
    </dxf>
    <dxf>
      <font>
        <name val="Arial"/>
        <charset val="1"/>
        <family val="0"/>
        <b val="1"/>
        <color rgb="FF065F46"/>
        <sz val="10"/>
      </font>
      <fill>
        <patternFill>
          <bgColor rgb="FFD1FAE5"/>
        </patternFill>
      </fill>
    </dxf>
    <dxf>
      <font>
        <name val="Arial"/>
        <charset val="1"/>
        <family val="0"/>
        <color rgb="FF475569"/>
        <sz val="10"/>
      </font>
      <fill>
        <patternFill>
          <bgColor rgb="FFE2E8F0"/>
        </patternFill>
      </fill>
    </dxf>
  </dxfs>
  <colors>
    <indexedColors>
      <rgbColor rgb="FF000000"/>
      <rgbColor rgb="FFFFFFFF"/>
      <rgbColor rgb="FFFF0000"/>
      <rgbColor rgb="FF00FF00"/>
      <rgbColor rgb="FF0000FF"/>
      <rgbColor rgb="FFFFFF00"/>
      <rgbColor rgb="FFFF00FF"/>
      <rgbColor rgb="FF00FFFF"/>
      <rgbColor rgb="FF991B1B"/>
      <rgbColor rgb="FF008000"/>
      <rgbColor rgb="FF000080"/>
      <rgbColor rgb="FF808000"/>
      <rgbColor rgb="FF800080"/>
      <rgbColor rgb="FF0D9488"/>
      <rgbColor rgb="FFC0C0C0"/>
      <rgbColor rgb="FF808080"/>
      <rgbColor rgb="FF9999FF"/>
      <rgbColor rgb="FF92400E"/>
      <rgbColor rgb="FFFEF3C7"/>
      <rgbColor rgb="FFDBEAFE"/>
      <rgbColor rgb="FF660066"/>
      <rgbColor rgb="FFFF8A65"/>
      <rgbColor rgb="FF0066CC"/>
      <rgbColor rgb="FFE2E8F0"/>
      <rgbColor rgb="FF000080"/>
      <rgbColor rgb="FFFF00FF"/>
      <rgbColor rgb="FFFFFF00"/>
      <rgbColor rgb="FF00FFFF"/>
      <rgbColor rgb="FF800080"/>
      <rgbColor rgb="FF800000"/>
      <rgbColor rgb="FF065F46"/>
      <rgbColor rgb="FF0000FF"/>
      <rgbColor rgb="FF00CCFF"/>
      <rgbColor rgb="FFF1F5F9"/>
      <rgbColor rgb="FFD1FAE5"/>
      <rgbColor rgb="FFFEE2E2"/>
      <rgbColor rgb="FF99CCFF"/>
      <rgbColor rgb="FFFF99CC"/>
      <rgbColor rgb="FFCC99FF"/>
      <rgbColor rgb="FFFED7AA"/>
      <rgbColor rgb="FF3366FF"/>
      <rgbColor rgb="FF14B8A6"/>
      <rgbColor rgb="FF99CC00"/>
      <rgbColor rgb="FFFFCC00"/>
      <rgbColor rgb="FFFF9900"/>
      <rgbColor rgb="FFFF6600"/>
      <rgbColor rgb="FF64748B"/>
      <rgbColor rgb="FF969696"/>
      <rgbColor rgb="FF003366"/>
      <rgbColor rgb="FF339966"/>
      <rgbColor rgb="FF0F1A2A"/>
      <rgbColor rgb="FF475569"/>
      <rgbColor rgb="FF9A3412"/>
      <rgbColor rgb="FF993366"/>
      <rgbColor rgb="FF1E40AF"/>
      <rgbColor rgb="FF3341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5"/>
    <col collapsed="false" customWidth="true" hidden="false" outlineLevel="0" max="2" min="2" style="0" width="14"/>
  </cols>
  <sheetData>
    <row r="1" customFormat="false" ht="31.5" hidden="false" customHeight="true" outlineLevel="0" collapsed="false">
      <c r="A1" s="1" t="s">
        <v>0</v>
      </c>
    </row>
    <row r="3" customFormat="false" ht="19.7" hidden="false" customHeight="false" outlineLevel="0" collapsed="false">
      <c r="A3" s="2" t="s">
        <v>1</v>
      </c>
      <c r="B3" s="3" t="n">
        <f aca="false">COUNTA('Bug Tracker'!A2:A1000)</f>
        <v>3</v>
      </c>
    </row>
    <row r="5" customFormat="false" ht="17.35" hidden="false" customHeight="false" outlineLevel="0" collapsed="false">
      <c r="A5" s="4" t="s">
        <v>2</v>
      </c>
    </row>
    <row r="7" customFormat="false" ht="17.35" hidden="false" customHeight="false" outlineLevel="0" collapsed="false">
      <c r="A7" s="5" t="s">
        <v>3</v>
      </c>
      <c r="B7" s="6" t="n">
        <f aca="false">COUNTIF('Bug Tracker'!J2:J1000,"P0 - Bloqueante")</f>
        <v>1</v>
      </c>
    </row>
    <row r="8" customFormat="false" ht="17.35" hidden="false" customHeight="false" outlineLevel="0" collapsed="false">
      <c r="A8" s="7" t="s">
        <v>4</v>
      </c>
      <c r="B8" s="8" t="n">
        <f aca="false">COUNTIF('Bug Tracker'!J2:J1000,"P1 - Crítico")</f>
        <v>1</v>
      </c>
    </row>
    <row r="9" customFormat="false" ht="17.35" hidden="false" customHeight="false" outlineLevel="0" collapsed="false">
      <c r="A9" s="9" t="s">
        <v>5</v>
      </c>
      <c r="B9" s="10" t="n">
        <f aca="false">COUNTIF('Bug Tracker'!J2:J1000,"P2 - Medio")</f>
        <v>1</v>
      </c>
    </row>
    <row r="10" customFormat="false" ht="17.35" hidden="false" customHeight="false" outlineLevel="0" collapsed="false">
      <c r="A10" s="11" t="s">
        <v>6</v>
      </c>
      <c r="B10" s="12" t="n">
        <f aca="false">COUNTIF('Bug Tracker'!J2:J1000,"P3 - Cosmético")</f>
        <v>0</v>
      </c>
    </row>
    <row r="13" customFormat="false" ht="17.35" hidden="false" customHeight="false" outlineLevel="0" collapsed="false">
      <c r="A13" s="4" t="s">
        <v>7</v>
      </c>
    </row>
    <row r="15" customFormat="false" ht="17.35" hidden="false" customHeight="false" outlineLevel="0" collapsed="false">
      <c r="A15" s="5" t="s">
        <v>8</v>
      </c>
      <c r="B15" s="6" t="n">
        <f aca="false">COUNTIF('Bug Tracker'!K2:K1000,"Abierto")</f>
        <v>3</v>
      </c>
    </row>
    <row r="16" customFormat="false" ht="17.35" hidden="false" customHeight="false" outlineLevel="0" collapsed="false">
      <c r="A16" s="9" t="s">
        <v>9</v>
      </c>
      <c r="B16" s="10" t="n">
        <f aca="false">COUNTIF('Bug Tracker'!K2:K1000,"En fix")</f>
        <v>0</v>
      </c>
    </row>
    <row r="17" customFormat="false" ht="17.35" hidden="false" customHeight="false" outlineLevel="0" collapsed="false">
      <c r="A17" s="11" t="s">
        <v>10</v>
      </c>
      <c r="B17" s="12" t="n">
        <f aca="false">COUNTIF('Bug Tracker'!K2:K1000,"En review")</f>
        <v>0</v>
      </c>
    </row>
    <row r="18" customFormat="false" ht="17.35" hidden="false" customHeight="false" outlineLevel="0" collapsed="false">
      <c r="A18" s="13" t="s">
        <v>11</v>
      </c>
      <c r="B18" s="14" t="n">
        <f aca="false">COUNTIF('Bug Tracker'!K2:K1000,"Cerrado")</f>
        <v>0</v>
      </c>
    </row>
    <row r="19" customFormat="false" ht="17.35" hidden="false" customHeight="false" outlineLevel="0" collapsed="false">
      <c r="A19" s="15" t="s">
        <v>12</v>
      </c>
      <c r="B19" s="16" t="n">
        <f aca="false">COUNTIF('Bug Tracker'!K2:K1000,"No es bug")</f>
        <v>0</v>
      </c>
    </row>
    <row r="22" customFormat="false" ht="17.35" hidden="false" customHeight="false" outlineLevel="0" collapsed="false">
      <c r="A22" s="4" t="s">
        <v>13</v>
      </c>
    </row>
    <row r="24" customFormat="false" ht="17.35" hidden="false" customHeight="false" outlineLevel="0" collapsed="false">
      <c r="A24" s="17" t="s">
        <v>14</v>
      </c>
      <c r="B24" s="18" t="n">
        <f aca="false">COUNTIF('Bug Tracker'!C2:C1000,"admin")</f>
        <v>1</v>
      </c>
    </row>
    <row r="25" customFormat="false" ht="17.35" hidden="false" customHeight="false" outlineLevel="0" collapsed="false">
      <c r="A25" s="17" t="s">
        <v>15</v>
      </c>
      <c r="B25" s="18" t="n">
        <f aca="false">COUNTIF('Bug Tracker'!C2:C1000,"doctor")</f>
        <v>1</v>
      </c>
    </row>
    <row r="26" customFormat="false" ht="17.35" hidden="false" customHeight="false" outlineLevel="0" collapsed="false">
      <c r="A26" s="17" t="s">
        <v>16</v>
      </c>
      <c r="B26" s="18" t="n">
        <f aca="false">COUNTIF('Bug Tracker'!C2:C1000,"paciente")</f>
        <v>1</v>
      </c>
    </row>
    <row r="27" customFormat="false" ht="17.35" hidden="false" customHeight="false" outlineLevel="0" collapsed="false">
      <c r="A27" s="17" t="s">
        <v>17</v>
      </c>
      <c r="B27" s="18" t="n">
        <f aca="false">COUNTIF('Bug Tracker'!C2:C1000,"invitado")</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3" min="2" style="0" width="12"/>
    <col collapsed="false" customWidth="true" hidden="false" outlineLevel="0" max="4" min="4" style="0" width="30"/>
    <col collapsed="false" customWidth="true" hidden="false" outlineLevel="0" max="5" min="5" style="0" width="45"/>
    <col collapsed="false" customWidth="true" hidden="false" outlineLevel="0" max="7" min="6" style="0" width="35"/>
    <col collapsed="false" customWidth="true" hidden="false" outlineLevel="0" max="8" min="8" style="0" width="22"/>
    <col collapsed="false" customWidth="true" hidden="false" outlineLevel="0" max="9" min="9" style="0" width="55"/>
    <col collapsed="false" customWidth="true" hidden="false" outlineLevel="0" max="10" min="10" style="0" width="12"/>
    <col collapsed="false" customWidth="true" hidden="false" outlineLevel="0" max="11" min="11" style="0" width="14"/>
    <col collapsed="false" customWidth="true" hidden="false" outlineLevel="0" max="12" min="12" style="0" width="30"/>
    <col collapsed="false" customWidth="true" hidden="false" outlineLevel="0" max="13" min="13" style="0" width="12"/>
  </cols>
  <sheetData>
    <row r="1" customFormat="false" ht="42" hidden="false" customHeight="true" outlineLevel="0" collapsed="false">
      <c r="A1" s="19" t="s">
        <v>18</v>
      </c>
      <c r="B1" s="19" t="s">
        <v>19</v>
      </c>
      <c r="C1" s="19" t="s">
        <v>20</v>
      </c>
      <c r="D1" s="19" t="s">
        <v>21</v>
      </c>
      <c r="E1" s="19" t="s">
        <v>22</v>
      </c>
      <c r="F1" s="19" t="s">
        <v>23</v>
      </c>
      <c r="G1" s="19" t="s">
        <v>24</v>
      </c>
      <c r="H1" s="19" t="s">
        <v>25</v>
      </c>
      <c r="I1" s="19" t="s">
        <v>26</v>
      </c>
      <c r="J1" s="19" t="s">
        <v>27</v>
      </c>
      <c r="K1" s="19" t="s">
        <v>28</v>
      </c>
      <c r="L1" s="19" t="s">
        <v>29</v>
      </c>
      <c r="M1" s="19" t="s">
        <v>30</v>
      </c>
    </row>
    <row r="2" customFormat="false" ht="120" hidden="false" customHeight="true" outlineLevel="0" collapsed="false">
      <c r="A2" s="20" t="s">
        <v>31</v>
      </c>
      <c r="B2" s="20" t="s">
        <v>32</v>
      </c>
      <c r="C2" s="20" t="s">
        <v>15</v>
      </c>
      <c r="D2" s="20" t="s">
        <v>33</v>
      </c>
      <c r="E2" s="20" t="s">
        <v>34</v>
      </c>
      <c r="F2" s="20" t="s">
        <v>35</v>
      </c>
      <c r="G2" s="20" t="s">
        <v>36</v>
      </c>
      <c r="H2" s="20" t="s">
        <v>37</v>
      </c>
      <c r="I2" s="20" t="s">
        <v>38</v>
      </c>
      <c r="J2" s="20" t="s">
        <v>3</v>
      </c>
      <c r="K2" s="20" t="s">
        <v>8</v>
      </c>
      <c r="L2" s="20"/>
      <c r="M2" s="20"/>
    </row>
    <row r="3" customFormat="false" ht="120" hidden="false" customHeight="true" outlineLevel="0" collapsed="false">
      <c r="A3" s="20" t="s">
        <v>39</v>
      </c>
      <c r="B3" s="20" t="s">
        <v>32</v>
      </c>
      <c r="C3" s="20" t="s">
        <v>16</v>
      </c>
      <c r="D3" s="20" t="s">
        <v>40</v>
      </c>
      <c r="E3" s="20" t="s">
        <v>41</v>
      </c>
      <c r="F3" s="20" t="s">
        <v>42</v>
      </c>
      <c r="G3" s="20" t="s">
        <v>43</v>
      </c>
      <c r="H3" s="20" t="s">
        <v>44</v>
      </c>
      <c r="I3" s="20" t="s">
        <v>45</v>
      </c>
      <c r="J3" s="20" t="s">
        <v>4</v>
      </c>
      <c r="K3" s="20" t="s">
        <v>8</v>
      </c>
      <c r="L3" s="20"/>
      <c r="M3" s="20"/>
    </row>
    <row r="4" customFormat="false" ht="120" hidden="false" customHeight="true" outlineLevel="0" collapsed="false">
      <c r="A4" s="20" t="s">
        <v>46</v>
      </c>
      <c r="B4" s="20" t="s">
        <v>32</v>
      </c>
      <c r="C4" s="20" t="s">
        <v>14</v>
      </c>
      <c r="D4" s="20" t="s">
        <v>47</v>
      </c>
      <c r="E4" s="20" t="s">
        <v>48</v>
      </c>
      <c r="F4" s="20" t="s">
        <v>49</v>
      </c>
      <c r="G4" s="20" t="s">
        <v>50</v>
      </c>
      <c r="H4" s="20" t="s">
        <v>51</v>
      </c>
      <c r="I4" s="20" t="s">
        <v>52</v>
      </c>
      <c r="J4" s="20" t="s">
        <v>5</v>
      </c>
      <c r="K4" s="20" t="s">
        <v>8</v>
      </c>
      <c r="L4" s="20"/>
      <c r="M4" s="20"/>
    </row>
  </sheetData>
  <conditionalFormatting sqref="J2:J1000">
    <cfRule type="cellIs" priority="2" operator="equal" aboveAverage="0" equalAverage="0" bottom="0" percent="0" rank="0" text="" dxfId="0">
      <formula>"P0 - Bloqueante"</formula>
    </cfRule>
    <cfRule type="cellIs" priority="3" operator="equal" aboveAverage="0" equalAverage="0" bottom="0" percent="0" rank="0" text="" dxfId="1">
      <formula>"P1 - Crítico"</formula>
    </cfRule>
    <cfRule type="cellIs" priority="4" operator="equal" aboveAverage="0" equalAverage="0" bottom="0" percent="0" rank="0" text="" dxfId="2">
      <formula>"P2 - Medio"</formula>
    </cfRule>
    <cfRule type="cellIs" priority="5" operator="equal" aboveAverage="0" equalAverage="0" bottom="0" percent="0" rank="0" text="" dxfId="3">
      <formula>"P3 - Cosmético"</formula>
    </cfRule>
  </conditionalFormatting>
  <conditionalFormatting sqref="K2:K1000">
    <cfRule type="cellIs" priority="6" operator="equal" aboveAverage="0" equalAverage="0" bottom="0" percent="0" rank="0" text="" dxfId="0">
      <formula>"Abierto"</formula>
    </cfRule>
    <cfRule type="cellIs" priority="7" operator="equal" aboveAverage="0" equalAverage="0" bottom="0" percent="0" rank="0" text="" dxfId="2">
      <formula>"En fix"</formula>
    </cfRule>
    <cfRule type="cellIs" priority="8" operator="equal" aboveAverage="0" equalAverage="0" bottom="0" percent="0" rank="0" text="" dxfId="4">
      <formula>"En review"</formula>
    </cfRule>
    <cfRule type="cellIs" priority="9" operator="equal" aboveAverage="0" equalAverage="0" bottom="0" percent="0" rank="0" text="" dxfId="5">
      <formula>"Cerrado"</formula>
    </cfRule>
    <cfRule type="cellIs" priority="10" operator="equal" aboveAverage="0" equalAverage="0" bottom="0" percent="0" rank="0" text="" dxfId="6">
      <formula>"No es bug"</formula>
    </cfRule>
  </conditionalFormatting>
  <dataValidations count="3">
    <dataValidation allowBlank="false" error="Elige: admin, doctor, paciente o invitado" errorStyle="stop" errorTitle="Rol inválido" operator="between" showDropDown="false" showErrorMessage="true" showInputMessage="false" sqref="C2:C1000" type="list">
      <formula1>"admin,doctor,paciente,invitado"</formula1>
      <formula2>0</formula2>
    </dataValidation>
    <dataValidation allowBlank="false" error="Elige una severidad de la lista" errorStyle="stop" errorTitle="Severidad inválida" operator="between" showDropDown="false" showErrorMessage="true" showInputMessage="false" sqref="J2:J1000" type="list">
      <formula1>"P0 - Bloqueante,P1 - Crítico,P2 - Medio,P3 - Cosmético"</formula1>
      <formula2>0</formula2>
    </dataValidation>
    <dataValidation allowBlank="false" error="Elige un status de la lista" errorStyle="stop" errorTitle="Status inválido" operator="between" showDropDown="false" showErrorMessage="true" showInputMessage="false" sqref="K2:K1000" type="list">
      <formula1>"Abierto,En fix,En review,Cerrado,No es bug"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10"/>
  </cols>
  <sheetData>
    <row r="1" customFormat="false" ht="31.5" hidden="false" customHeight="true" outlineLevel="0" collapsed="false">
      <c r="A1" s="1" t="s">
        <v>53</v>
      </c>
    </row>
    <row r="3" customFormat="false" ht="24" hidden="false" customHeight="true" outlineLevel="0" collapsed="false">
      <c r="A3" s="4" t="s">
        <v>54</v>
      </c>
    </row>
    <row r="4" customFormat="false" ht="23.85" hidden="false" customHeight="false" outlineLevel="0" collapsed="false">
      <c r="A4" s="21" t="s">
        <v>55</v>
      </c>
    </row>
    <row r="6" customFormat="false" ht="24" hidden="false" customHeight="true" outlineLevel="0" collapsed="false">
      <c r="A6" s="4" t="s">
        <v>56</v>
      </c>
    </row>
    <row r="8" customFormat="false" ht="15" hidden="false" customHeight="false" outlineLevel="0" collapsed="false">
      <c r="A8" s="22" t="s">
        <v>18</v>
      </c>
    </row>
    <row r="9" customFormat="false" ht="15" hidden="false" customHeight="false" outlineLevel="0" collapsed="false">
      <c r="A9" s="21" t="s">
        <v>57</v>
      </c>
    </row>
    <row r="10" customFormat="false" ht="15" hidden="false" customHeight="false" outlineLevel="0" collapsed="false">
      <c r="A10" s="22" t="s">
        <v>19</v>
      </c>
    </row>
    <row r="11" customFormat="false" ht="15" hidden="false" customHeight="false" outlineLevel="0" collapsed="false">
      <c r="A11" s="21" t="s">
        <v>58</v>
      </c>
    </row>
    <row r="12" customFormat="false" ht="15" hidden="false" customHeight="false" outlineLevel="0" collapsed="false">
      <c r="A12" s="22" t="s">
        <v>20</v>
      </c>
    </row>
    <row r="13" customFormat="false" ht="15" hidden="false" customHeight="false" outlineLevel="0" collapsed="false">
      <c r="A13" s="21" t="s">
        <v>59</v>
      </c>
    </row>
    <row r="14" customFormat="false" ht="15" hidden="false" customHeight="false" outlineLevel="0" collapsed="false">
      <c r="A14" s="23" t="s">
        <v>60</v>
      </c>
    </row>
    <row r="15" customFormat="false" ht="15" hidden="false" customHeight="false" outlineLevel="0" collapsed="false">
      <c r="A15" s="23" t="s">
        <v>61</v>
      </c>
    </row>
    <row r="16" customFormat="false" ht="15" hidden="false" customHeight="false" outlineLevel="0" collapsed="false">
      <c r="A16" s="23" t="s">
        <v>62</v>
      </c>
    </row>
    <row r="17" customFormat="false" ht="15" hidden="false" customHeight="false" outlineLevel="0" collapsed="false">
      <c r="A17" s="23" t="s">
        <v>63</v>
      </c>
    </row>
    <row r="18" customFormat="false" ht="15" hidden="false" customHeight="false" outlineLevel="0" collapsed="false">
      <c r="A18" s="22" t="s">
        <v>21</v>
      </c>
    </row>
    <row r="19" customFormat="false" ht="15" hidden="false" customHeight="false" outlineLevel="0" collapsed="false">
      <c r="A19" s="21" t="s">
        <v>64</v>
      </c>
    </row>
    <row r="20" customFormat="false" ht="15" hidden="false" customHeight="false" outlineLevel="0" collapsed="false">
      <c r="A20" s="23" t="s">
        <v>65</v>
      </c>
    </row>
    <row r="21" customFormat="false" ht="15" hidden="false" customHeight="false" outlineLevel="0" collapsed="false">
      <c r="A21" s="22" t="s">
        <v>22</v>
      </c>
    </row>
    <row r="22" customFormat="false" ht="15" hidden="false" customHeight="false" outlineLevel="0" collapsed="false">
      <c r="A22" s="21" t="s">
        <v>66</v>
      </c>
    </row>
    <row r="23" customFormat="false" ht="53.7" hidden="false" customHeight="false" outlineLevel="0" collapsed="false">
      <c r="A23" s="23" t="s">
        <v>67</v>
      </c>
    </row>
    <row r="24" customFormat="false" ht="15" hidden="false" customHeight="false" outlineLevel="0" collapsed="false">
      <c r="A24" s="22" t="s">
        <v>23</v>
      </c>
    </row>
    <row r="25" customFormat="false" ht="15" hidden="false" customHeight="false" outlineLevel="0" collapsed="false">
      <c r="A25" s="21" t="s">
        <v>68</v>
      </c>
    </row>
    <row r="26" customFormat="false" ht="15" hidden="false" customHeight="false" outlineLevel="0" collapsed="false">
      <c r="A26" s="22" t="s">
        <v>24</v>
      </c>
    </row>
    <row r="27" customFormat="false" ht="15" hidden="false" customHeight="false" outlineLevel="0" collapsed="false">
      <c r="A27" s="21" t="s">
        <v>69</v>
      </c>
    </row>
    <row r="28" customFormat="false" ht="15" hidden="false" customHeight="false" outlineLevel="0" collapsed="false">
      <c r="A28" s="22" t="s">
        <v>25</v>
      </c>
    </row>
    <row r="29" customFormat="false" ht="15" hidden="false" customHeight="false" outlineLevel="0" collapsed="false">
      <c r="A29" s="21" t="s">
        <v>70</v>
      </c>
    </row>
    <row r="30" customFormat="false" ht="35.05" hidden="false" customHeight="false" outlineLevel="0" collapsed="false">
      <c r="A30" s="21" t="s">
        <v>71</v>
      </c>
    </row>
    <row r="31" customFormat="false" ht="15" hidden="false" customHeight="false" outlineLevel="0" collapsed="false">
      <c r="A31" s="22" t="s">
        <v>26</v>
      </c>
    </row>
    <row r="32" customFormat="false" ht="23.85" hidden="false" customHeight="false" outlineLevel="0" collapsed="false">
      <c r="A32" s="21" t="s">
        <v>72</v>
      </c>
    </row>
    <row r="33" customFormat="false" ht="23.85" hidden="false" customHeight="false" outlineLevel="0" collapsed="false">
      <c r="A33" s="21" t="s">
        <v>73</v>
      </c>
    </row>
    <row r="34" customFormat="false" ht="15" hidden="false" customHeight="false" outlineLevel="0" collapsed="false">
      <c r="A34" s="21" t="s">
        <v>74</v>
      </c>
    </row>
    <row r="35" customFormat="false" ht="15" hidden="false" customHeight="false" outlineLevel="0" collapsed="false">
      <c r="A35" s="22" t="s">
        <v>27</v>
      </c>
    </row>
    <row r="36" customFormat="false" ht="15" hidden="false" customHeight="false" outlineLevel="0" collapsed="false">
      <c r="A36" s="21" t="s">
        <v>75</v>
      </c>
    </row>
    <row r="37" customFormat="false" ht="15" hidden="false" customHeight="false" outlineLevel="0" collapsed="false">
      <c r="A37" s="23" t="s">
        <v>76</v>
      </c>
    </row>
    <row r="38" customFormat="false" ht="15" hidden="false" customHeight="false" outlineLevel="0" collapsed="false">
      <c r="A38" s="23" t="s">
        <v>77</v>
      </c>
    </row>
    <row r="39" customFormat="false" ht="15" hidden="false" customHeight="false" outlineLevel="0" collapsed="false">
      <c r="A39" s="23" t="s">
        <v>78</v>
      </c>
    </row>
    <row r="40" customFormat="false" ht="15" hidden="false" customHeight="false" outlineLevel="0" collapsed="false">
      <c r="A40" s="23" t="s">
        <v>79</v>
      </c>
    </row>
    <row r="41" customFormat="false" ht="15" hidden="false" customHeight="false" outlineLevel="0" collapsed="false">
      <c r="A41" s="22" t="s">
        <v>28</v>
      </c>
    </row>
    <row r="42" customFormat="false" ht="15" hidden="false" customHeight="false" outlineLevel="0" collapsed="false">
      <c r="A42" s="21" t="s">
        <v>80</v>
      </c>
    </row>
    <row r="43" customFormat="false" ht="15" hidden="false" customHeight="false" outlineLevel="0" collapsed="false">
      <c r="A43" s="22" t="s">
        <v>81</v>
      </c>
    </row>
    <row r="44" customFormat="false" ht="15" hidden="false" customHeight="false" outlineLevel="0" collapsed="false">
      <c r="A44" s="21" t="s">
        <v>82</v>
      </c>
    </row>
    <row r="46" customFormat="false" ht="24" hidden="false" customHeight="true" outlineLevel="0" collapsed="false">
      <c r="A46" s="4" t="s">
        <v>83</v>
      </c>
    </row>
    <row r="47" customFormat="false" ht="15" hidden="false" customHeight="false" outlineLevel="0" collapsed="false">
      <c r="A47" s="21" t="s">
        <v>84</v>
      </c>
    </row>
    <row r="48" customFormat="false" ht="15" hidden="false" customHeight="false" outlineLevel="0" collapsed="false">
      <c r="A48" s="21" t="s">
        <v>85</v>
      </c>
    </row>
    <row r="49" customFormat="false" ht="15" hidden="false" customHeight="false" outlineLevel="0" collapsed="false">
      <c r="A49" s="21" t="s">
        <v>86</v>
      </c>
    </row>
    <row r="50" customFormat="false" ht="15" hidden="false" customHeight="false" outlineLevel="0" collapsed="false">
      <c r="A50" s="21" t="s">
        <v>87</v>
      </c>
    </row>
    <row r="52" customFormat="false" ht="24" hidden="false" customHeight="true" outlineLevel="0" collapsed="false">
      <c r="A52" s="4" t="s">
        <v>88</v>
      </c>
    </row>
    <row r="53" customFormat="false" ht="15" hidden="false" customHeight="false" outlineLevel="0" collapsed="false">
      <c r="A53" s="21" t="s">
        <v>89</v>
      </c>
    </row>
    <row r="54" customFormat="false" ht="15" hidden="false" customHeight="false" outlineLevel="0" collapsed="false">
      <c r="A54" s="21" t="s">
        <v>90</v>
      </c>
    </row>
    <row r="55" customFormat="false" ht="23.85" hidden="false" customHeight="false" outlineLevel="0" collapsed="false">
      <c r="A55" s="21" t="s">
        <v>91</v>
      </c>
    </row>
    <row r="56" customFormat="false" ht="15" hidden="false" customHeight="false" outlineLevel="0" collapsed="false">
      <c r="A56" s="21" t="s">
        <v>92</v>
      </c>
    </row>
    <row r="57" customFormat="false" ht="15" hidden="false" customHeight="false" outlineLevel="0" collapsed="false">
      <c r="A57" s="21"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8"/>
    <col collapsed="false" customWidth="true" hidden="false" outlineLevel="0" max="4" min="4" style="0" width="14"/>
  </cols>
  <sheetData>
    <row r="1" customFormat="false" ht="31.5" hidden="false" customHeight="true" outlineLevel="0" collapsed="false">
      <c r="A1" s="1" t="s">
        <v>94</v>
      </c>
    </row>
    <row r="3" customFormat="false" ht="15" hidden="false" customHeight="false" outlineLevel="0" collapsed="false">
      <c r="A3" s="2" t="s">
        <v>95</v>
      </c>
      <c r="B3" s="24" t="s">
        <v>96</v>
      </c>
    </row>
    <row r="5" customFormat="false" ht="17.35" hidden="false" customHeight="false" outlineLevel="0" collapsed="false">
      <c r="A5" s="4" t="s">
        <v>97</v>
      </c>
    </row>
    <row r="7" customFormat="false" ht="15" hidden="false" customHeight="false" outlineLevel="0" collapsed="false">
      <c r="A7" s="25" t="s">
        <v>98</v>
      </c>
      <c r="B7" s="25" t="s">
        <v>99</v>
      </c>
      <c r="C7" s="25" t="s">
        <v>100</v>
      </c>
      <c r="D7" s="25" t="s">
        <v>101</v>
      </c>
    </row>
    <row r="8" customFormat="false" ht="15" hidden="false" customHeight="false" outlineLevel="0" collapsed="false">
      <c r="A8" s="26" t="s">
        <v>102</v>
      </c>
      <c r="B8" s="26" t="s">
        <v>103</v>
      </c>
      <c r="C8" s="26" t="s">
        <v>104</v>
      </c>
      <c r="D8" s="26" t="s">
        <v>105</v>
      </c>
    </row>
    <row r="9" customFormat="false" ht="15" hidden="false" customHeight="false" outlineLevel="0" collapsed="false">
      <c r="A9" s="26" t="s">
        <v>106</v>
      </c>
      <c r="B9" s="26" t="s">
        <v>107</v>
      </c>
      <c r="C9" s="26" t="s">
        <v>108</v>
      </c>
      <c r="D9" s="26" t="s">
        <v>109</v>
      </c>
    </row>
    <row r="10" customFormat="false" ht="15" hidden="false" customHeight="false" outlineLevel="0" collapsed="false">
      <c r="A10" s="26" t="s">
        <v>110</v>
      </c>
      <c r="B10" s="26" t="s">
        <v>111</v>
      </c>
      <c r="C10" s="26" t="s">
        <v>112</v>
      </c>
      <c r="D10" s="26" t="s">
        <v>113</v>
      </c>
    </row>
    <row r="13" customFormat="false" ht="17.35" hidden="false" customHeight="false" outlineLevel="0" collapsed="false">
      <c r="A13" s="4" t="s">
        <v>114</v>
      </c>
    </row>
    <row r="15" customFormat="false" ht="15" hidden="false" customHeight="false" outlineLevel="0" collapsed="false">
      <c r="A15" s="27" t="s">
        <v>115</v>
      </c>
    </row>
    <row r="16" customFormat="false" ht="15" hidden="false" customHeight="false" outlineLevel="0" collapsed="false">
      <c r="A16" s="27" t="s">
        <v>116</v>
      </c>
    </row>
    <row r="17" customFormat="false" ht="15" hidden="false" customHeight="false" outlineLevel="0" collapsed="false">
      <c r="A17" s="27" t="s">
        <v>117</v>
      </c>
    </row>
    <row r="18" customFormat="false" ht="15" hidden="false" customHeight="false" outlineLevel="0" collapsed="false">
      <c r="A18" s="27" t="s">
        <v>118</v>
      </c>
    </row>
    <row r="19" customFormat="false" ht="15" hidden="false" customHeight="false" outlineLevel="0" collapsed="false">
      <c r="A19" s="27" t="s">
        <v>119</v>
      </c>
    </row>
    <row r="22" customFormat="false" ht="17.35" hidden="false" customHeight="false" outlineLevel="0" collapsed="false">
      <c r="A22" s="28" t="s">
        <v>120</v>
      </c>
    </row>
    <row r="24" customFormat="false" ht="15" hidden="false" customHeight="false" outlineLevel="0" collapsed="false">
      <c r="A24" s="27" t="s">
        <v>121</v>
      </c>
    </row>
    <row r="25" customFormat="false" ht="15" hidden="false" customHeight="false" outlineLevel="0" collapsed="false">
      <c r="A25" s="27" t="s">
        <v>122</v>
      </c>
    </row>
    <row r="26" customFormat="false" ht="15" hidden="false" customHeight="false" outlineLevel="0" collapsed="false">
      <c r="A26" s="27" t="s">
        <v>123</v>
      </c>
    </row>
    <row r="27" customFormat="false" ht="15" hidden="false" customHeight="false" outlineLevel="0" collapsed="false">
      <c r="A27" s="27" t="s">
        <v>124</v>
      </c>
    </row>
    <row r="28" customFormat="false" ht="15" hidden="false" customHeight="false" outlineLevel="0" collapsed="false">
      <c r="A28" s="27" t="s">
        <v>125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8"/>
    <col collapsed="false" customWidth="true" hidden="false" outlineLevel="0" max="3" min="3" style="0" width="60"/>
    <col collapsed="false" customWidth="true" hidden="false" outlineLevel="0" max="4" min="4" style="0" width="14"/>
    <col collapsed="false" customWidth="true" hidden="false" outlineLevel="0" max="5" min="5" style="0" width="30"/>
  </cols>
  <sheetData>
    <row r="1" customFormat="false" ht="31.5" hidden="false" customHeight="true" outlineLevel="0" collapsed="false">
      <c r="A1" s="1" t="s">
        <v>126</v>
      </c>
    </row>
    <row r="3" customFormat="false" ht="15" hidden="false" customHeight="false" outlineLevel="0" collapsed="false">
      <c r="A3" s="29" t="s">
        <v>127</v>
      </c>
    </row>
    <row r="5" customFormat="false" ht="15" hidden="false" customHeight="false" outlineLevel="0" collapsed="false">
      <c r="A5" s="19" t="s">
        <v>98</v>
      </c>
      <c r="B5" s="19" t="s">
        <v>128</v>
      </c>
      <c r="C5" s="19" t="s">
        <v>129</v>
      </c>
      <c r="D5" s="19" t="s">
        <v>130</v>
      </c>
      <c r="E5" s="19" t="s">
        <v>131</v>
      </c>
    </row>
    <row r="6" customFormat="false" ht="31.5" hidden="false" customHeight="true" outlineLevel="0" collapsed="false">
      <c r="A6" s="20" t="s">
        <v>14</v>
      </c>
      <c r="B6" s="20" t="s">
        <v>105</v>
      </c>
      <c r="C6" s="20" t="s">
        <v>132</v>
      </c>
      <c r="D6" s="20" t="s">
        <v>133</v>
      </c>
      <c r="E6" s="20"/>
    </row>
    <row r="7" customFormat="false" ht="31.5" hidden="false" customHeight="true" outlineLevel="0" collapsed="false">
      <c r="A7" s="20" t="s">
        <v>14</v>
      </c>
      <c r="B7" s="20" t="s">
        <v>134</v>
      </c>
      <c r="C7" s="20" t="s">
        <v>135</v>
      </c>
      <c r="D7" s="20" t="s">
        <v>133</v>
      </c>
      <c r="E7" s="20"/>
    </row>
    <row r="8" customFormat="false" ht="31.5" hidden="false" customHeight="true" outlineLevel="0" collapsed="false">
      <c r="A8" s="20" t="s">
        <v>14</v>
      </c>
      <c r="B8" s="20" t="s">
        <v>136</v>
      </c>
      <c r="C8" s="20" t="s">
        <v>137</v>
      </c>
      <c r="D8" s="20" t="s">
        <v>133</v>
      </c>
      <c r="E8" s="20"/>
    </row>
    <row r="9" customFormat="false" ht="31.5" hidden="false" customHeight="true" outlineLevel="0" collapsed="false">
      <c r="A9" s="20" t="s">
        <v>14</v>
      </c>
      <c r="B9" s="20" t="s">
        <v>138</v>
      </c>
      <c r="C9" s="20" t="s">
        <v>139</v>
      </c>
      <c r="D9" s="20" t="s">
        <v>133</v>
      </c>
      <c r="E9" s="20"/>
    </row>
    <row r="10" customFormat="false" ht="31.5" hidden="false" customHeight="true" outlineLevel="0" collapsed="false">
      <c r="A10" s="20" t="s">
        <v>14</v>
      </c>
      <c r="B10" s="20" t="s">
        <v>47</v>
      </c>
      <c r="C10" s="20" t="s">
        <v>140</v>
      </c>
      <c r="D10" s="20" t="s">
        <v>133</v>
      </c>
      <c r="E10" s="20"/>
    </row>
    <row r="11" customFormat="false" ht="31.5" hidden="false" customHeight="true" outlineLevel="0" collapsed="false">
      <c r="A11" s="20" t="s">
        <v>14</v>
      </c>
      <c r="B11" s="20" t="s">
        <v>141</v>
      </c>
      <c r="C11" s="20" t="s">
        <v>142</v>
      </c>
      <c r="D11" s="20" t="s">
        <v>133</v>
      </c>
      <c r="E11" s="20"/>
    </row>
    <row r="12" customFormat="false" ht="31.5" hidden="false" customHeight="true" outlineLevel="0" collapsed="false">
      <c r="A12" s="20" t="s">
        <v>14</v>
      </c>
      <c r="B12" s="20" t="s">
        <v>143</v>
      </c>
      <c r="C12" s="20" t="s">
        <v>144</v>
      </c>
      <c r="D12" s="20" t="s">
        <v>133</v>
      </c>
      <c r="E12" s="20"/>
    </row>
    <row r="13" customFormat="false" ht="31.5" hidden="false" customHeight="true" outlineLevel="0" collapsed="false">
      <c r="A13" s="20" t="s">
        <v>14</v>
      </c>
      <c r="B13" s="20" t="s">
        <v>145</v>
      </c>
      <c r="C13" s="20" t="s">
        <v>146</v>
      </c>
      <c r="D13" s="20" t="s">
        <v>133</v>
      </c>
      <c r="E13" s="20"/>
    </row>
    <row r="14" customFormat="false" ht="31.5" hidden="false" customHeight="true" outlineLevel="0" collapsed="false">
      <c r="A14" s="20" t="s">
        <v>14</v>
      </c>
      <c r="B14" s="20" t="s">
        <v>147</v>
      </c>
      <c r="C14" s="20" t="s">
        <v>148</v>
      </c>
      <c r="D14" s="20" t="s">
        <v>133</v>
      </c>
      <c r="E14" s="20"/>
    </row>
    <row r="15" customFormat="false" ht="31.5" hidden="false" customHeight="true" outlineLevel="0" collapsed="false">
      <c r="A15" s="20" t="s">
        <v>15</v>
      </c>
      <c r="B15" s="20" t="s">
        <v>109</v>
      </c>
      <c r="C15" s="20" t="s">
        <v>149</v>
      </c>
      <c r="D15" s="20" t="s">
        <v>133</v>
      </c>
      <c r="E15" s="20"/>
    </row>
    <row r="16" customFormat="false" ht="31.5" hidden="false" customHeight="true" outlineLevel="0" collapsed="false">
      <c r="A16" s="20" t="s">
        <v>15</v>
      </c>
      <c r="B16" s="20" t="s">
        <v>150</v>
      </c>
      <c r="C16" s="20" t="s">
        <v>151</v>
      </c>
      <c r="D16" s="20" t="s">
        <v>133</v>
      </c>
      <c r="E16" s="20"/>
    </row>
    <row r="17" customFormat="false" ht="31.5" hidden="false" customHeight="true" outlineLevel="0" collapsed="false">
      <c r="A17" s="20" t="s">
        <v>15</v>
      </c>
      <c r="B17" s="20" t="s">
        <v>33</v>
      </c>
      <c r="C17" s="20" t="s">
        <v>152</v>
      </c>
      <c r="D17" s="20" t="s">
        <v>133</v>
      </c>
      <c r="E17" s="20"/>
    </row>
    <row r="18" customFormat="false" ht="31.5" hidden="false" customHeight="true" outlineLevel="0" collapsed="false">
      <c r="A18" s="20" t="s">
        <v>15</v>
      </c>
      <c r="B18" s="20" t="s">
        <v>153</v>
      </c>
      <c r="C18" s="20" t="s">
        <v>154</v>
      </c>
      <c r="D18" s="20" t="s">
        <v>133</v>
      </c>
      <c r="E18" s="20"/>
    </row>
    <row r="19" customFormat="false" ht="31.5" hidden="false" customHeight="true" outlineLevel="0" collapsed="false">
      <c r="A19" s="20" t="s">
        <v>15</v>
      </c>
      <c r="B19" s="20" t="s">
        <v>155</v>
      </c>
      <c r="C19" s="20" t="s">
        <v>156</v>
      </c>
      <c r="D19" s="20" t="s">
        <v>133</v>
      </c>
      <c r="E19" s="20"/>
    </row>
    <row r="20" customFormat="false" ht="31.5" hidden="false" customHeight="true" outlineLevel="0" collapsed="false">
      <c r="A20" s="20" t="s">
        <v>15</v>
      </c>
      <c r="B20" s="20" t="s">
        <v>157</v>
      </c>
      <c r="C20" s="20" t="s">
        <v>158</v>
      </c>
      <c r="D20" s="20" t="s">
        <v>133</v>
      </c>
      <c r="E20" s="20"/>
    </row>
    <row r="21" customFormat="false" ht="31.5" hidden="false" customHeight="true" outlineLevel="0" collapsed="false">
      <c r="A21" s="20" t="s">
        <v>15</v>
      </c>
      <c r="B21" s="20" t="s">
        <v>159</v>
      </c>
      <c r="C21" s="20" t="s">
        <v>160</v>
      </c>
      <c r="D21" s="20" t="s">
        <v>133</v>
      </c>
      <c r="E21" s="20"/>
    </row>
    <row r="22" customFormat="false" ht="31.5" hidden="false" customHeight="true" outlineLevel="0" collapsed="false">
      <c r="A22" s="20" t="s">
        <v>15</v>
      </c>
      <c r="B22" s="20" t="s">
        <v>161</v>
      </c>
      <c r="C22" s="20" t="s">
        <v>162</v>
      </c>
      <c r="D22" s="20" t="s">
        <v>133</v>
      </c>
      <c r="E22" s="20"/>
    </row>
    <row r="23" customFormat="false" ht="31.5" hidden="false" customHeight="true" outlineLevel="0" collapsed="false">
      <c r="A23" s="20" t="s">
        <v>15</v>
      </c>
      <c r="B23" s="20" t="s">
        <v>163</v>
      </c>
      <c r="C23" s="20" t="s">
        <v>164</v>
      </c>
      <c r="D23" s="20" t="s">
        <v>133</v>
      </c>
      <c r="E23" s="20"/>
    </row>
    <row r="24" customFormat="false" ht="31.5" hidden="false" customHeight="true" outlineLevel="0" collapsed="false">
      <c r="A24" s="20" t="s">
        <v>15</v>
      </c>
      <c r="B24" s="20" t="s">
        <v>165</v>
      </c>
      <c r="C24" s="20" t="s">
        <v>166</v>
      </c>
      <c r="D24" s="20" t="s">
        <v>133</v>
      </c>
      <c r="E24" s="20"/>
    </row>
    <row r="25" customFormat="false" ht="31.5" hidden="false" customHeight="true" outlineLevel="0" collapsed="false">
      <c r="A25" s="20" t="s">
        <v>15</v>
      </c>
      <c r="B25" s="20" t="s">
        <v>167</v>
      </c>
      <c r="C25" s="20" t="s">
        <v>168</v>
      </c>
      <c r="D25" s="20" t="s">
        <v>133</v>
      </c>
      <c r="E25" s="20"/>
    </row>
    <row r="26" customFormat="false" ht="31.5" hidden="false" customHeight="true" outlineLevel="0" collapsed="false">
      <c r="A26" s="20" t="s">
        <v>15</v>
      </c>
      <c r="B26" s="20" t="s">
        <v>169</v>
      </c>
      <c r="C26" s="20" t="s">
        <v>170</v>
      </c>
      <c r="D26" s="20" t="s">
        <v>133</v>
      </c>
      <c r="E26" s="20"/>
    </row>
    <row r="27" customFormat="false" ht="31.5" hidden="false" customHeight="true" outlineLevel="0" collapsed="false">
      <c r="A27" s="20" t="s">
        <v>15</v>
      </c>
      <c r="B27" s="20" t="s">
        <v>171</v>
      </c>
      <c r="C27" s="20" t="s">
        <v>172</v>
      </c>
      <c r="D27" s="20" t="s">
        <v>133</v>
      </c>
      <c r="E27" s="20"/>
    </row>
    <row r="28" customFormat="false" ht="31.5" hidden="false" customHeight="true" outlineLevel="0" collapsed="false">
      <c r="A28" s="20" t="s">
        <v>15</v>
      </c>
      <c r="B28" s="20" t="s">
        <v>173</v>
      </c>
      <c r="C28" s="20" t="s">
        <v>174</v>
      </c>
      <c r="D28" s="20" t="s">
        <v>133</v>
      </c>
      <c r="E28" s="20"/>
    </row>
    <row r="29" customFormat="false" ht="31.5" hidden="false" customHeight="true" outlineLevel="0" collapsed="false">
      <c r="A29" s="20" t="s">
        <v>15</v>
      </c>
      <c r="B29" s="20" t="s">
        <v>175</v>
      </c>
      <c r="C29" s="20" t="s">
        <v>176</v>
      </c>
      <c r="D29" s="20" t="s">
        <v>133</v>
      </c>
      <c r="E29" s="20"/>
    </row>
    <row r="30" customFormat="false" ht="31.5" hidden="false" customHeight="true" outlineLevel="0" collapsed="false">
      <c r="A30" s="20" t="s">
        <v>15</v>
      </c>
      <c r="B30" s="20" t="s">
        <v>177</v>
      </c>
      <c r="C30" s="20" t="s">
        <v>178</v>
      </c>
      <c r="D30" s="20" t="s">
        <v>133</v>
      </c>
      <c r="E30" s="20"/>
    </row>
    <row r="31" customFormat="false" ht="31.5" hidden="false" customHeight="true" outlineLevel="0" collapsed="false">
      <c r="A31" s="20" t="s">
        <v>15</v>
      </c>
      <c r="B31" s="20" t="s">
        <v>179</v>
      </c>
      <c r="C31" s="20" t="s">
        <v>180</v>
      </c>
      <c r="D31" s="20" t="s">
        <v>133</v>
      </c>
      <c r="E31" s="20"/>
    </row>
    <row r="32" customFormat="false" ht="31.5" hidden="false" customHeight="true" outlineLevel="0" collapsed="false">
      <c r="A32" s="20" t="s">
        <v>15</v>
      </c>
      <c r="B32" s="20" t="s">
        <v>181</v>
      </c>
      <c r="C32" s="20" t="s">
        <v>182</v>
      </c>
      <c r="D32" s="20" t="s">
        <v>133</v>
      </c>
      <c r="E32" s="20"/>
    </row>
    <row r="33" customFormat="false" ht="31.5" hidden="false" customHeight="true" outlineLevel="0" collapsed="false">
      <c r="A33" s="20" t="s">
        <v>16</v>
      </c>
      <c r="B33" s="20" t="s">
        <v>113</v>
      </c>
      <c r="C33" s="20" t="s">
        <v>183</v>
      </c>
      <c r="D33" s="20" t="s">
        <v>133</v>
      </c>
      <c r="E33" s="20"/>
    </row>
    <row r="34" customFormat="false" ht="31.5" hidden="false" customHeight="true" outlineLevel="0" collapsed="false">
      <c r="A34" s="20" t="s">
        <v>16</v>
      </c>
      <c r="B34" s="20" t="s">
        <v>184</v>
      </c>
      <c r="C34" s="20" t="s">
        <v>185</v>
      </c>
      <c r="D34" s="20" t="s">
        <v>133</v>
      </c>
      <c r="E34" s="20"/>
    </row>
    <row r="35" customFormat="false" ht="31.5" hidden="false" customHeight="true" outlineLevel="0" collapsed="false">
      <c r="A35" s="20" t="s">
        <v>16</v>
      </c>
      <c r="B35" s="20" t="s">
        <v>186</v>
      </c>
      <c r="C35" s="20" t="s">
        <v>187</v>
      </c>
      <c r="D35" s="20" t="s">
        <v>133</v>
      </c>
      <c r="E35" s="20"/>
    </row>
    <row r="36" customFormat="false" ht="31.5" hidden="false" customHeight="true" outlineLevel="0" collapsed="false">
      <c r="A36" s="20" t="s">
        <v>16</v>
      </c>
      <c r="B36" s="20" t="s">
        <v>188</v>
      </c>
      <c r="C36" s="20" t="s">
        <v>189</v>
      </c>
      <c r="D36" s="20" t="s">
        <v>133</v>
      </c>
      <c r="E36" s="20"/>
    </row>
    <row r="37" customFormat="false" ht="31.5" hidden="false" customHeight="true" outlineLevel="0" collapsed="false">
      <c r="A37" s="20" t="s">
        <v>16</v>
      </c>
      <c r="B37" s="20" t="s">
        <v>190</v>
      </c>
      <c r="C37" s="20" t="s">
        <v>191</v>
      </c>
      <c r="D37" s="20" t="s">
        <v>133</v>
      </c>
      <c r="E37" s="20"/>
    </row>
    <row r="38" customFormat="false" ht="31.5" hidden="false" customHeight="true" outlineLevel="0" collapsed="false">
      <c r="A38" s="20" t="s">
        <v>16</v>
      </c>
      <c r="B38" s="20" t="s">
        <v>192</v>
      </c>
      <c r="C38" s="20" t="s">
        <v>193</v>
      </c>
      <c r="D38" s="20" t="s">
        <v>133</v>
      </c>
      <c r="E38" s="20"/>
    </row>
    <row r="39" customFormat="false" ht="31.5" hidden="false" customHeight="true" outlineLevel="0" collapsed="false">
      <c r="A39" s="20" t="s">
        <v>17</v>
      </c>
      <c r="B39" s="20" t="s">
        <v>194</v>
      </c>
      <c r="C39" s="20" t="s">
        <v>195</v>
      </c>
      <c r="D39" s="20" t="s">
        <v>133</v>
      </c>
      <c r="E39" s="20"/>
    </row>
    <row r="40" customFormat="false" ht="31.5" hidden="false" customHeight="true" outlineLevel="0" collapsed="false">
      <c r="A40" s="20" t="s">
        <v>17</v>
      </c>
      <c r="B40" s="20" t="s">
        <v>196</v>
      </c>
      <c r="C40" s="20" t="s">
        <v>197</v>
      </c>
      <c r="D40" s="20" t="s">
        <v>133</v>
      </c>
      <c r="E40" s="20"/>
    </row>
    <row r="41" customFormat="false" ht="31.5" hidden="false" customHeight="true" outlineLevel="0" collapsed="false">
      <c r="A41" s="20" t="s">
        <v>17</v>
      </c>
      <c r="B41" s="20" t="s">
        <v>198</v>
      </c>
      <c r="C41" s="20" t="s">
        <v>199</v>
      </c>
      <c r="D41" s="20" t="s">
        <v>133</v>
      </c>
      <c r="E41" s="20"/>
    </row>
    <row r="42" customFormat="false" ht="31.5" hidden="false" customHeight="true" outlineLevel="0" collapsed="false">
      <c r="A42" s="20" t="s">
        <v>17</v>
      </c>
      <c r="B42" s="20" t="s">
        <v>200</v>
      </c>
      <c r="C42" s="20" t="s">
        <v>201</v>
      </c>
      <c r="D42" s="20" t="s">
        <v>133</v>
      </c>
      <c r="E42" s="20"/>
    </row>
  </sheetData>
  <conditionalFormatting sqref="D6:D1000">
    <cfRule type="cellIs" priority="2" operator="equal" aboveAverage="0" equalAverage="0" bottom="0" percent="0" rank="0" text="" dxfId="5">
      <formula>"OK"</formula>
    </cfRule>
    <cfRule type="cellIs" priority="3" operator="equal" aboveAverage="0" equalAverage="0" bottom="0" percent="0" rank="0" text="" dxfId="0">
      <formula>"Con bugs"</formula>
    </cfRule>
    <cfRule type="cellIs" priority="4" operator="equal" aboveAverage="0" equalAverage="0" bottom="0" percent="0" rank="0" text="" dxfId="6">
      <formula>"Bloqueado"</formula>
    </cfRule>
    <cfRule type="cellIs" priority="5" operator="equal" aboveAverage="0" equalAverage="0" bottom="0" percent="0" rank="0" text="" dxfId="2">
      <formula>"En prueba"</formula>
    </cfRule>
  </conditionalFormatting>
  <dataValidations count="1">
    <dataValidation allowBlank="true" errorStyle="stop" operator="between" showDropDown="false" showErrorMessage="false" showInputMessage="false" sqref="D6:D1000" type="list">
      <formula1>"Pendiente,En prueba,OK,Con bugs,Bloqueado"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2026-04-22T01:29:21Z</dcterms:created>
  <dc:creator>openpyxl</dc:creator>
  <dc:description/>
  <dc:language>en-US</dc:language>
  <cp:lastModifiedBy/>
  <dcterms:modified xsi:type="dcterms:W3CDTF">2026-04-22T01:29:21Z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